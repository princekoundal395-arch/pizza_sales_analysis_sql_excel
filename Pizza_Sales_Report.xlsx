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project 1\pizza_sales_analysis_sql_excel\pizza_sales_analysis_sql_excel\excel\"/>
    </mc:Choice>
  </mc:AlternateContent>
  <xr:revisionPtr revIDLastSave="0" documentId="8_{3F869280-5191-43BB-A80D-BEB1741DB7E2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Raw Data" sheetId="1" r:id="rId1"/>
    <sheet name="Summary Dashboard" sheetId="2" r:id="rId2"/>
    <sheet name="Pivot Analysis" sheetId="3" r:id="rId3"/>
    <sheet name="How To Us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C7" i="3"/>
  <c r="B7" i="3"/>
  <c r="E7" i="3" s="1"/>
  <c r="E6" i="3"/>
  <c r="D6" i="3"/>
  <c r="C6" i="3"/>
  <c r="B6" i="3"/>
  <c r="D5" i="3"/>
  <c r="C5" i="3"/>
  <c r="B5" i="3"/>
  <c r="E5" i="3" s="1"/>
  <c r="D4" i="3"/>
  <c r="D8" i="3" s="1"/>
  <c r="C4" i="3"/>
  <c r="C8" i="3" s="1"/>
  <c r="B4" i="3"/>
  <c r="C21" i="2"/>
  <c r="B21" i="2"/>
  <c r="C20" i="2"/>
  <c r="B20" i="2"/>
  <c r="C19" i="2"/>
  <c r="B19" i="2"/>
  <c r="C14" i="2"/>
  <c r="B14" i="2"/>
  <c r="C13" i="2"/>
  <c r="B13" i="2"/>
  <c r="C12" i="2"/>
  <c r="B12" i="2"/>
  <c r="C11" i="2"/>
  <c r="B11" i="2"/>
  <c r="B5" i="2"/>
  <c r="B4" i="2"/>
  <c r="B3" i="2"/>
  <c r="B6" i="2" s="1"/>
  <c r="B8" i="3" l="1"/>
  <c r="E4" i="3"/>
  <c r="E8" i="3" s="1"/>
</calcChain>
</file>

<file path=xl/sharedStrings.xml><?xml version="1.0" encoding="utf-8"?>
<sst xmlns="http://schemas.openxmlformats.org/spreadsheetml/2006/main" count="785" uniqueCount="217">
  <si>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</si>
  <si>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</si>
  <si>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</si>
  <si>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</si>
  <si>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</si>
  <si>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</si>
  <si>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</si>
  <si>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</si>
  <si>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</si>
  <si>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</si>
  <si>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</si>
  <si>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</si>
  <si>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hawaiian_m</t>
  </si>
  <si>
    <t>1/1/2015</t>
  </si>
  <si>
    <t>11:38:36</t>
  </si>
  <si>
    <t>M</t>
  </si>
  <si>
    <t>Classic</t>
  </si>
  <si>
    <t>Sliced Ham, Pineapple, Mozzarella Cheese</t>
  </si>
  <si>
    <t>The Hawaiian Pizza</t>
  </si>
  <si>
    <t>classic_dlx_m</t>
  </si>
  <si>
    <t>11:57:40</t>
  </si>
  <si>
    <t>Pepperoni, Mushrooms, Red Onions, Red Peppers, Bacon</t>
  </si>
  <si>
    <t>The Classic Deluxe Pizza</t>
  </si>
  <si>
    <t>five_cheese_l</t>
  </si>
  <si>
    <t>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</si>
  <si>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</si>
  <si>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</si>
  <si>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</si>
  <si>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</si>
  <si>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</si>
  <si>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</si>
  <si>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</si>
  <si>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</si>
  <si>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</si>
  <si>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</si>
  <si>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</si>
  <si>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</si>
  <si>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</si>
  <si>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</si>
  <si>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</si>
  <si>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12:12:28</t>
  </si>
  <si>
    <t>prsc_argla_l</t>
  </si>
  <si>
    <t>Prosciutto di San Daniele, Arugula, Mozzarella Cheese</t>
  </si>
  <si>
    <t>The Prosciutto and Arugula Pizza</t>
  </si>
  <si>
    <t>12:16:31</t>
  </si>
  <si>
    <t>12:21:30</t>
  </si>
  <si>
    <t>bbq_ckn_s</t>
  </si>
  <si>
    <t>12:29:36</t>
  </si>
  <si>
    <t>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</si>
  <si>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</si>
  <si>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</si>
  <si>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</si>
  <si>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</si>
  <si>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</si>
  <si>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</si>
  <si>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12:50:37</t>
  </si>
  <si>
    <t>Spinach, Red Onions, Pepperoni, Tomatoes, Artichokes, Kalamata Olives, Garlic, Asiago Cheese</t>
  </si>
  <si>
    <t>The Spinach Supreme Pizza</t>
  </si>
  <si>
    <t>12:51:37</t>
  </si>
  <si>
    <t>classic_dlx_s</t>
  </si>
  <si>
    <t>12:52:01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</si>
  <si>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</si>
  <si>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</si>
  <si>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</si>
  <si>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</si>
  <si>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</si>
  <si>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</si>
  <si>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</si>
  <si>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</si>
  <si>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spicy_ital_l</t>
  </si>
  <si>
    <t>Capocollo, Tomatoes, Goat Cheese, Artichokes, Peperoncini verdi, Garlic</t>
  </si>
  <si>
    <t>The Spicy Italian Pizza</t>
  </si>
  <si>
    <t>spin_pesto_l</t>
  </si>
  <si>
    <t>Spinach, Artichokes, Tomatoes, Sun-dried Tomatoes, Garlic, Pesto Sauce</t>
  </si>
  <si>
    <t>The Spinach Pesto Pizza</t>
  </si>
  <si>
    <t>veggie_veg_s</t>
  </si>
  <si>
    <t>Mushrooms, Tomatoes, Red Peppers, Green Peppers, Red Onions, Zucchini, Spinach, Garlic</t>
  </si>
  <si>
    <t>The Vegetables + Vegetables Pizza</t>
  </si>
  <si>
    <t>mexicana_l</t>
  </si>
  <si>
    <t>13:00:15</t>
  </si>
  <si>
    <t>southw_ckn_l</t>
  </si>
  <si>
    <t>Chicken, Tomatoes, Red Peppers, Red Onions, Jalapeno Peppers, Corn, Cilantro, Chipotle Sauce</t>
  </si>
  <si>
    <t>The Southwest Chicken Pizza</t>
  </si>
  <si>
    <t>bbq_ckn_l</t>
  </si>
  <si>
    <t>13:02:59</t>
  </si>
  <si>
    <t>cali_ckn_l</t>
  </si>
  <si>
    <t>Chicken, Artichoke, Spinach, Garlic, Jalapeno Peppers, Fontina Cheese, Gouda Cheese</t>
  </si>
  <si>
    <t>The California Chicken Pizza</t>
  </si>
  <si>
    <t>cali_ckn_m</t>
  </si>
  <si>
    <t>pepperoni_l</t>
  </si>
  <si>
    <t>Mozzarella Cheese, Pepperoni</t>
  </si>
  <si>
    <t>The Pepperoni Pizza</t>
  </si>
  <si>
    <t>13:04:41</t>
  </si>
  <si>
    <t>cali_ckn_s</t>
  </si>
  <si>
    <t>ckn_pesto_l</t>
  </si>
  <si>
    <t>Chicken, Tomatoes, Red Peppers, Spinach, Garlic, Pesto Sauce</t>
  </si>
  <si>
    <t>The Chicken Pesto Pizza</t>
  </si>
  <si>
    <t>13:11:55</t>
  </si>
  <si>
    <t>13:14:19</t>
  </si>
  <si>
    <t>big_meat_s</t>
  </si>
  <si>
    <t>13:33:00</t>
  </si>
  <si>
    <t>Bacon, Pepperoni, Italian Sausage, Chorizo Sausage</t>
  </si>
  <si>
    <t>The Big Meat Pizza</t>
  </si>
  <si>
    <t>soppressata_l</t>
  </si>
  <si>
    <t>Soppressata Salami, Fontina Cheese, Mozzarella Cheese, Mushrooms, Garlic</t>
  </si>
  <si>
    <t>The Soppressata Pizza</t>
  </si>
  <si>
    <t>four_cheese_l</t>
  </si>
  <si>
    <t>13:34:07</t>
  </si>
  <si>
    <t>Ricotta Cheese, Gorgonzola Piccante Cheese, Mozzarella Cheese, Parmigiano Reggiano Cheese, Garlic</t>
  </si>
  <si>
    <t>The Four Cheese Pizza</t>
  </si>
  <si>
    <t>napolitana_s</t>
  </si>
  <si>
    <t>Tomatoes, Anchovies, Green Olives, Red Onions, Garlic</t>
  </si>
  <si>
    <t>The Napolitana Pizza</t>
  </si>
  <si>
    <t>13:53:00</t>
  </si>
  <si>
    <t>calabrese_m</t>
  </si>
  <si>
    <t>?duja Salami, Pancetta, Tomatoes, Red Onions, Friggitello Peppers, Garlic</t>
  </si>
  <si>
    <t>The Calabrese Pizza</t>
  </si>
  <si>
    <t>four_cheese_m</t>
  </si>
  <si>
    <t>ital_veggie_s</t>
  </si>
  <si>
    <t>Eggplant, Artichokes, Tomatoes, Zucchini, Red Peppers, Garlic, Pesto Sauce</t>
  </si>
  <si>
    <t>The Italian Vegetables Pizza</t>
  </si>
  <si>
    <t>mediterraneo_m</t>
  </si>
  <si>
    <t>Spinach, Artichokes, Kalamata Olives, Sun-dried Tomatoes, Feta Cheese, Plum Tomatoes, Red Onions</t>
  </si>
  <si>
    <t>The Mediterranean Pizza</t>
  </si>
  <si>
    <t>peppr_salami_s</t>
  </si>
  <si>
    <t>Genoa Salami, Capocollo, Pepperoni, Tomatoes, Asiago Cheese, Garlic</t>
  </si>
  <si>
    <t>The Pepper Salami Pizza</t>
  </si>
  <si>
    <t>spinach_fet_l</t>
  </si>
  <si>
    <t>Spinach, Mushrooms, Red Onions, Feta Cheese, Garlic</t>
  </si>
  <si>
    <t>The Spinach and Feta Pizza</t>
  </si>
  <si>
    <t>napolitana_l</t>
  </si>
  <si>
    <t>13:57:08</t>
  </si>
  <si>
    <t>13:59:09</t>
  </si>
  <si>
    <t>sicilian_l</t>
  </si>
  <si>
    <t>Coarse Sicilian Salami, Tomatoes, Green Olives, Luganega Sausage, Onions, Garlic</t>
  </si>
  <si>
    <t>The Sicilian Pizza</t>
  </si>
  <si>
    <t>14:03:08</t>
  </si>
  <si>
    <t>14:14:29</t>
  </si>
  <si>
    <t>14:16:26</t>
  </si>
  <si>
    <t>ital_cpcllo_m</t>
  </si>
  <si>
    <t>southw_ckn_s</t>
  </si>
  <si>
    <t>14:19:03</t>
  </si>
  <si>
    <t>bbq_ckn_m</t>
  </si>
  <si>
    <t>14:23:01</t>
  </si>
  <si>
    <t>pepperoni_m</t>
  </si>
  <si>
    <t>prsc_argla_s</t>
  </si>
  <si>
    <t>sicilian_m</t>
  </si>
  <si>
    <t>14:44:44</t>
  </si>
  <si>
    <t>14:54:26</t>
  </si>
  <si>
    <t>veggie_veg_l</t>
  </si>
  <si>
    <t>15:11:17</t>
  </si>
  <si>
    <t>ckn_alfredo_s</t>
  </si>
  <si>
    <t>15:35:46</t>
  </si>
  <si>
    <t>Chicken, Red Onions, Red Peppers, Mushrooms, Asiago Cheese, Alfredo Sauce</t>
  </si>
  <si>
    <t>The Chicken Alfredo Pizza</t>
  </si>
  <si>
    <t>15:41:01</t>
  </si>
  <si>
    <t>15:41:25</t>
  </si>
  <si>
    <t>15:50:18</t>
  </si>
  <si>
    <t>pepperoni_s</t>
  </si>
  <si>
    <t>15:53:18</t>
  </si>
  <si>
    <t>green_garden_l</t>
  </si>
  <si>
    <t>15:54:08</t>
  </si>
  <si>
    <t>16:21:21</t>
  </si>
  <si>
    <t>green_garden_m</t>
  </si>
  <si>
    <t>16:32:04</t>
  </si>
  <si>
    <t>pep_msh_pep_l</t>
  </si>
  <si>
    <t>Pepperoni, Mushrooms, Green Peppers</t>
  </si>
  <si>
    <t>The Pepperoni, Mushroom, and Peppers Pizza</t>
  </si>
  <si>
    <t>16:54:09</t>
  </si>
  <si>
    <t>16:56:09</t>
  </si>
  <si>
    <t>hawaiian_s</t>
  </si>
  <si>
    <t>17:03:00</t>
  </si>
  <si>
    <t>17:07:23</t>
  </si>
  <si>
    <t>17:14:36</t>
  </si>
  <si>
    <t>17:15:20</t>
  </si>
  <si>
    <t>PIZZA SALES - SUMMARY DASHBOARD</t>
  </si>
  <si>
    <t>Total Revenue ($)</t>
  </si>
  <si>
    <t>Total Orders</t>
  </si>
  <si>
    <t>Total Pizzas Sold</t>
  </si>
  <si>
    <t>Average Order Value ($)</t>
  </si>
  <si>
    <t>Revenue by Pizza Category</t>
  </si>
  <si>
    <t>Category</t>
  </si>
  <si>
    <t>Revenue ($)</t>
  </si>
  <si>
    <t>Quantity Sold</t>
  </si>
  <si>
    <t>Revenue by Pizza Size</t>
  </si>
  <si>
    <t>Size</t>
  </si>
  <si>
    <t>Top 5 Best-Selling Pizzas</t>
  </si>
  <si>
    <t>Pizza Name</t>
  </si>
  <si>
    <t>Top 5 Revenue-Generating Pizzas</t>
  </si>
  <si>
    <t>Orders by Hour of Day</t>
  </si>
  <si>
    <t>Hour</t>
  </si>
  <si>
    <t>Number of Orders</t>
  </si>
  <si>
    <t>11:00</t>
  </si>
  <si>
    <t>12:00</t>
  </si>
  <si>
    <t>13:00</t>
  </si>
  <si>
    <t>14:00</t>
  </si>
  <si>
    <t>15:00</t>
  </si>
  <si>
    <t>16:00</t>
  </si>
  <si>
    <t>17:00</t>
  </si>
  <si>
    <t>PIVOT-STYLE ANALYSIS: Category x Size (Revenue)</t>
  </si>
  <si>
    <t>Grand Total</t>
  </si>
  <si>
    <t>PIZZA SALES PROJECT - GUIDE</t>
  </si>
  <si>
    <t>Sheet 1: Raw Data</t>
  </si>
  <si>
    <t>Original CSV data loaded as-is. This is the source for all formulas.</t>
  </si>
  <si>
    <t>Sheet 2: Summary Dashboard</t>
  </si>
  <si>
    <t>KPIs (Total Revenue, Orders, Avg Order Value) + charts for category, size, and top pizzas.</t>
  </si>
  <si>
    <t>Sheet 3: Pivot Analysis</t>
  </si>
  <si>
    <t>A manual pivot table showing Revenue broken down by Category and Size, using SUMIFS formulas.</t>
  </si>
  <si>
    <t>How the formulas work:</t>
  </si>
  <si>
    <t>SUMIF(range, criteria, sum_range)</t>
  </si>
  <si>
    <t>Adds values where a single condition matches (e.g. category = Veggie).</t>
  </si>
  <si>
    <t>SUMIFS(sum_range, range1, crit1, range2, crit2)</t>
  </si>
  <si>
    <t>Adds values where MULTIPLE conditions match (used in Pivot Analysis).</t>
  </si>
  <si>
    <t>SUMPRODUCT(1/COUNTIF(range,range))</t>
  </si>
  <si>
    <t>A trick to count DISTINCT values (used for Total Orders).</t>
  </si>
  <si>
    <t>Tip for your resume/interview:</t>
  </si>
  <si>
    <t>Explain that you built this using SQL (SQLite) for querying and Excel formulas/charts for reporting - a common real-world analyst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</si>
</sst>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C0392B"/>
      <name val="Arial"/>
      <charset val="1"/>
    </font>
    <font>
      <b/>
      <sz val="10"/>
      <name val="Arial"/>
      <charset val="1"/>
    </font>
    <font>
      <b/>
      <sz val="16"/>
      <color rgb="FFC0392B"/>
      <name val="Arial"/>
      <charset val="1"/>
    </font>
    <font>
      <b/>
      <sz val="11"/>
      <color rgb="FFC0392B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C0504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Pizza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Revenue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5C-4736-999B-A6EA23CF77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5C-4736-999B-A6EA23CF77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5C-4736-999B-A6EA23CF77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5C-4736-999B-A6EA23CF7778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5C-4736-999B-A6EA23CF7778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5C-4736-999B-A6EA23CF7778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5C-4736-999B-A6EA23CF7778}"/>
                </c:ext>
              </c:extLst>
            </c:dLbl>
            <c:dLbl>
              <c:idx val="3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5C-4736-999B-A6EA23CF777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Dashboard'!$A$11:$A$14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'Summary Dashboard'!$B$11:$B$14</c:f>
              <c:numCache>
                <c:formatCode>General</c:formatCode>
                <c:ptCount val="4"/>
                <c:pt idx="0">
                  <c:v>404.5</c:v>
                </c:pt>
                <c:pt idx="1">
                  <c:v>414.25</c:v>
                </c:pt>
                <c:pt idx="2">
                  <c:v>359.5</c:v>
                </c:pt>
                <c:pt idx="3">
                  <c:v>505.4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5C-4736-999B-A6EA23CF77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Revenue by Pizza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Dashboard'!$B$18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Dashboard'!$A$19:$A$21</c:f>
              <c:strCache>
                <c:ptCount val="3"/>
                <c:pt idx="0">
                  <c:v>S</c:v>
                </c:pt>
                <c:pt idx="1">
                  <c:v>M</c:v>
                </c:pt>
                <c:pt idx="2">
                  <c:v>L</c:v>
                </c:pt>
              </c:strCache>
            </c:strRef>
          </c:cat>
          <c:val>
            <c:numRef>
              <c:f>'Summary Dashboard'!$B$19:$B$21</c:f>
              <c:numCache>
                <c:formatCode>General</c:formatCode>
                <c:ptCount val="3"/>
                <c:pt idx="0">
                  <c:v>351.25</c:v>
                </c:pt>
                <c:pt idx="1">
                  <c:v>409.5</c:v>
                </c:pt>
                <c:pt idx="2">
                  <c:v>922.9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0-434C-B178-517014B2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42241"/>
        <c:axId val="14886743"/>
      </c:barChart>
      <c:catAx>
        <c:axId val="37442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14886743"/>
        <c:crosses val="autoZero"/>
        <c:auto val="1"/>
        <c:lblAlgn val="ctr"/>
        <c:lblOffset val="100"/>
        <c:noMultiLvlLbl val="0"/>
      </c:catAx>
      <c:valAx>
        <c:axId val="14886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7442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5 Best-Selling Pizzas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Dashboard'!$B$25</c:f>
              <c:strCache>
                <c:ptCount val="1"/>
                <c:pt idx="0">
                  <c:v>Quantity Sold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Dashboard'!$A$26:$A$30</c:f>
              <c:strCache>
                <c:ptCount val="5"/>
                <c:pt idx="0">
                  <c:v>The Italian Supreme Pizza</c:v>
                </c:pt>
                <c:pt idx="1">
                  <c:v>The Italian Capocollo Pizza</c:v>
                </c:pt>
                <c:pt idx="2">
                  <c:v>The Barbecue Chicken Pizza</c:v>
                </c:pt>
                <c:pt idx="3">
                  <c:v>The Mexicana Pizza</c:v>
                </c:pt>
                <c:pt idx="4">
                  <c:v>The Green Garden Pizza</c:v>
                </c:pt>
              </c:strCache>
            </c:strRef>
          </c:cat>
          <c:val>
            <c:numRef>
              <c:f>'Summary Dashboard'!$B$26:$B$30</c:f>
              <c:numCache>
                <c:formatCode>General</c:formatCode>
                <c:ptCount val="5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4341-BE98-7387A15123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2164403"/>
        <c:axId val="15707015"/>
      </c:barChart>
      <c:catAx>
        <c:axId val="32164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015"/>
        <c:crosses val="autoZero"/>
        <c:auto val="1"/>
        <c:lblAlgn val="ctr"/>
        <c:lblOffset val="100"/>
        <c:noMultiLvlLbl val="0"/>
      </c:catAx>
      <c:valAx>
        <c:axId val="1570701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21644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Dashboard'!$C$10</c:f>
              <c:strCache>
                <c:ptCount val="1"/>
                <c:pt idx="0">
                  <c:v>Quantity Sold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1D-4297-9A6A-1E784C941E9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1D-4297-9A6A-1E784C941E9C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1D-4297-9A6A-1E784C941E9C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1D-4297-9A6A-1E784C941E9C}"/>
              </c:ext>
            </c:extLst>
          </c:dPt>
          <c:dLbls>
            <c:dLbl>
              <c:idx val="0"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1D-4297-9A6A-1E784C941E9C}"/>
                </c:ext>
              </c:extLst>
            </c:dLbl>
            <c:dLbl>
              <c:idx val="1"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1D-4297-9A6A-1E784C941E9C}"/>
                </c:ext>
              </c:extLst>
            </c:dLbl>
            <c:dLbl>
              <c:idx val="2"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1D-4297-9A6A-1E784C941E9C}"/>
                </c:ext>
              </c:extLst>
            </c:dLbl>
            <c:dLbl>
              <c:idx val="3"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1D-4297-9A6A-1E784C941E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Dashboard'!$A$11:$A$14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'Summary Dashboard'!$C$11:$C$14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1D-4297-9A6A-1E784C941E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Revenue-Generating Pizzas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Dashboard'!$B$34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Dashboard'!$A$35:$A$39</c:f>
              <c:strCache>
                <c:ptCount val="5"/>
                <c:pt idx="0">
                  <c:v>The Italian Supreme Pizza</c:v>
                </c:pt>
                <c:pt idx="1">
                  <c:v>The Italian Capocollo Pizza</c:v>
                </c:pt>
                <c:pt idx="2">
                  <c:v>The Barbecue Chicken Pizza</c:v>
                </c:pt>
                <c:pt idx="3">
                  <c:v>The Mexicana Pizza</c:v>
                </c:pt>
                <c:pt idx="4">
                  <c:v>The Thai Chicken Pizza</c:v>
                </c:pt>
              </c:strCache>
            </c:strRef>
          </c:cat>
          <c:val>
            <c:numRef>
              <c:f>'Summary Dashboard'!$B$35:$B$39</c:f>
              <c:numCache>
                <c:formatCode>General</c:formatCode>
                <c:ptCount val="5"/>
                <c:pt idx="0">
                  <c:v>194.5</c:v>
                </c:pt>
                <c:pt idx="1">
                  <c:v>134.5</c:v>
                </c:pt>
                <c:pt idx="2">
                  <c:v>129.25</c:v>
                </c:pt>
                <c:pt idx="3">
                  <c:v>125</c:v>
                </c:pt>
                <c:pt idx="4">
                  <c:v>103.75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5-44E8-A63D-23F3ABA660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0157309"/>
        <c:axId val="82361859"/>
      </c:barChart>
      <c:catAx>
        <c:axId val="40157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61859"/>
        <c:crosses val="autoZero"/>
        <c:auto val="1"/>
        <c:lblAlgn val="ctr"/>
        <c:lblOffset val="100"/>
        <c:noMultiLvlLbl val="0"/>
      </c:catAx>
      <c:valAx>
        <c:axId val="823618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1573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Dashboard'!$B$43</c:f>
              <c:strCache>
                <c:ptCount val="1"/>
                <c:pt idx="0">
                  <c:v>Number of Orders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Dashboard'!$A$44:$A$50</c:f>
              <c:strCache>
                <c:ptCount val="7"/>
                <c:pt idx="0">
                  <c:v>11:00</c:v>
                </c:pt>
                <c:pt idx="1">
                  <c:v>12:00</c:v>
                </c:pt>
                <c:pt idx="2">
                  <c:v>13:00</c:v>
                </c:pt>
                <c:pt idx="3">
                  <c:v>14:00</c:v>
                </c:pt>
                <c:pt idx="4">
                  <c:v>15:00</c:v>
                </c:pt>
                <c:pt idx="5">
                  <c:v>16:00</c:v>
                </c:pt>
                <c:pt idx="6">
                  <c:v>17:00</c:v>
                </c:pt>
              </c:strCache>
            </c:strRef>
          </c:cat>
          <c:val>
            <c:numRef>
              <c:f>'Summary Dashboard'!$B$44:$B$50</c:f>
              <c:numCache>
                <c:formatCode>General</c:formatCode>
                <c:ptCount val="7"/>
                <c:pt idx="0">
                  <c:v>6</c:v>
                </c:pt>
                <c:pt idx="1">
                  <c:v>17</c:v>
                </c:pt>
                <c:pt idx="2">
                  <c:v>32</c:v>
                </c:pt>
                <c:pt idx="3">
                  <c:v>15</c:v>
                </c:pt>
                <c:pt idx="4">
                  <c:v>14</c:v>
                </c:pt>
                <c:pt idx="5">
                  <c:v>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A-44D1-A469-DFB04E7F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61609"/>
        <c:axId val="37466349"/>
      </c:barChart>
      <c:catAx>
        <c:axId val="12161609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6349"/>
        <c:crosses val="autoZero"/>
        <c:auto val="1"/>
        <c:lblAlgn val="ctr"/>
        <c:lblOffset val="100"/>
        <c:noMultiLvlLbl val="0"/>
      </c:catAx>
      <c:valAx>
        <c:axId val="37466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6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623455</xdr:colOff>
      <xdr:row>1</xdr:row>
      <xdr:rowOff>17319</xdr:rowOff>
    </xdr:from>
    <xdr:ext cx="14478000" cy="742949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7AEC0CC-3B04-9C43-048F-E89E02543C48}"/>
            </a:ext>
          </a:extLst>
        </xdr:cNvPr>
        <xdr:cNvSpPr txBox="1"/>
      </xdr:nvSpPr>
      <xdr:spPr>
        <a:xfrm>
          <a:off x="4779819" y="242455"/>
          <a:ext cx="14478000" cy="742949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779317</xdr:colOff>
      <xdr:row>6</xdr:row>
      <xdr:rowOff>146957</xdr:rowOff>
    </xdr:from>
    <xdr:to>
      <xdr:col>27</xdr:col>
      <xdr:colOff>554183</xdr:colOff>
      <xdr:row>37</xdr:row>
      <xdr:rowOff>134640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50283B8-26B9-4EA2-A1FC-9766F7C62E26}"/>
            </a:ext>
          </a:extLst>
        </xdr:cNvPr>
        <xdr:cNvGrpSpPr/>
      </xdr:nvGrpSpPr>
      <xdr:grpSpPr>
        <a:xfrm>
          <a:off x="4935681" y="1601684"/>
          <a:ext cx="14114320" cy="5893183"/>
          <a:chOff x="4935681" y="1601684"/>
          <a:chExt cx="14114320" cy="589318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aphicFramePr/>
        </xdr:nvGraphicFramePr>
        <xdr:xfrm>
          <a:off x="4935681" y="1636319"/>
          <a:ext cx="4160967" cy="28794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213272" y="1636320"/>
          <a:ext cx="4849092" cy="28490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aphicFramePr/>
        </xdr:nvGraphicFramePr>
        <xdr:xfrm>
          <a:off x="14183590" y="1601684"/>
          <a:ext cx="4858145" cy="2879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aphicFramePr/>
        </xdr:nvGraphicFramePr>
        <xdr:xfrm>
          <a:off x="4935681" y="4615047"/>
          <a:ext cx="4160967" cy="2879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aphicFramePr/>
        </xdr:nvGraphicFramePr>
        <xdr:xfrm>
          <a:off x="9213274" y="4598089"/>
          <a:ext cx="4858145" cy="28794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aphicFramePr/>
        </xdr:nvGraphicFramePr>
        <xdr:xfrm>
          <a:off x="14183593" y="4589317"/>
          <a:ext cx="4866408" cy="28921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oneCellAnchor>
    <xdr:from>
      <xdr:col>4</xdr:col>
      <xdr:colOff>277091</xdr:colOff>
      <xdr:row>3</xdr:row>
      <xdr:rowOff>207818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1FF6D0E-0EF1-F160-AE37-67A338698FD2}"/>
            </a:ext>
          </a:extLst>
        </xdr:cNvPr>
        <xdr:cNvSpPr txBox="1"/>
      </xdr:nvSpPr>
      <xdr:spPr>
        <a:xfrm>
          <a:off x="5230091" y="883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17318</xdr:colOff>
      <xdr:row>2</xdr:row>
      <xdr:rowOff>69272</xdr:rowOff>
    </xdr:from>
    <xdr:ext cx="11828318" cy="7184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7A9CA85-C6D1-5D75-1E43-442BBD154DCF}"/>
            </a:ext>
          </a:extLst>
        </xdr:cNvPr>
        <xdr:cNvSpPr txBox="1"/>
      </xdr:nvSpPr>
      <xdr:spPr>
        <a:xfrm>
          <a:off x="6147954" y="484908"/>
          <a:ext cx="11828318" cy="71846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4000">
              <a:solidFill>
                <a:schemeClr val="bg1"/>
              </a:solidFill>
            </a:rPr>
            <a:t>PIZZA</a:t>
          </a:r>
          <a:r>
            <a:rPr lang="en-US" sz="4000" baseline="0">
              <a:solidFill>
                <a:schemeClr val="bg1"/>
              </a:solidFill>
            </a:rPr>
            <a:t> SALES DASHBOARD</a:t>
          </a:r>
          <a:endParaRPr lang="en-US" sz="40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103909</xdr:colOff>
      <xdr:row>2</xdr:row>
      <xdr:rowOff>86591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ADA50C3-A9C7-19E9-CAE6-172B6376A6C8}"/>
            </a:ext>
          </a:extLst>
        </xdr:cNvPr>
        <xdr:cNvSpPr txBox="1"/>
      </xdr:nvSpPr>
      <xdr:spPr>
        <a:xfrm>
          <a:off x="5056909" y="502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3" width="16" customWidth="1"/>
    <col min="4" max="4" width="10" customWidth="1"/>
    <col min="5" max="6" width="12" customWidth="1"/>
    <col min="7" max="7" width="10" customWidth="1"/>
    <col min="8" max="8" width="12" customWidth="1"/>
    <col min="9" max="9" width="10" customWidth="1"/>
    <col min="10" max="10" width="14" customWidth="1"/>
    <col min="11" max="11" width="45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1</v>
      </c>
      <c r="C2" s="2" t="s">
        <v>12</v>
      </c>
      <c r="D2" s="2">
        <v>1</v>
      </c>
      <c r="E2" s="2" t="s">
        <v>13</v>
      </c>
      <c r="F2" s="2" t="s">
        <v>14</v>
      </c>
      <c r="G2" s="2">
        <v>13.25</v>
      </c>
      <c r="H2" s="2">
        <v>13.25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25">
      <c r="A3" s="2">
        <v>2</v>
      </c>
      <c r="B3" s="2">
        <v>2</v>
      </c>
      <c r="C3" s="2" t="s">
        <v>19</v>
      </c>
      <c r="D3" s="2">
        <v>1</v>
      </c>
      <c r="E3" s="2" t="s">
        <v>13</v>
      </c>
      <c r="F3" s="2" t="s">
        <v>20</v>
      </c>
      <c r="G3" s="2">
        <v>16</v>
      </c>
      <c r="H3" s="2">
        <v>16</v>
      </c>
      <c r="I3" s="2" t="s">
        <v>15</v>
      </c>
      <c r="J3" s="2" t="s">
        <v>16</v>
      </c>
      <c r="K3" s="2" t="s">
        <v>21</v>
      </c>
      <c r="L3" s="2" t="s">
        <v>22</v>
      </c>
    </row>
    <row r="4" spans="1:12" x14ac:dyDescent="0.25">
      <c r="A4" s="2">
        <v>3</v>
      </c>
      <c r="B4" s="2">
        <v>2</v>
      </c>
      <c r="C4" s="2" t="s">
        <v>23</v>
      </c>
      <c r="D4" s="2">
        <v>1</v>
      </c>
      <c r="E4" s="2" t="s">
        <v>13</v>
      </c>
      <c r="F4" s="2" t="s">
        <v>20</v>
      </c>
      <c r="G4" s="2">
        <v>18.5</v>
      </c>
      <c r="H4" s="2">
        <v>18.5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x14ac:dyDescent="0.25">
      <c r="A5" s="2">
        <v>4</v>
      </c>
      <c r="B5" s="2">
        <v>2</v>
      </c>
      <c r="C5" s="2" t="s">
        <v>28</v>
      </c>
      <c r="D5" s="2">
        <v>1</v>
      </c>
      <c r="E5" s="2" t="s">
        <v>13</v>
      </c>
      <c r="F5" s="2" t="s">
        <v>20</v>
      </c>
      <c r="G5" s="2">
        <v>20.75</v>
      </c>
      <c r="H5" s="2">
        <v>20.75</v>
      </c>
      <c r="I5" s="2" t="s">
        <v>24</v>
      </c>
      <c r="J5" s="2" t="s">
        <v>29</v>
      </c>
      <c r="K5" s="2" t="s">
        <v>30</v>
      </c>
      <c r="L5" s="2" t="s">
        <v>31</v>
      </c>
    </row>
    <row r="6" spans="1:12" x14ac:dyDescent="0.25">
      <c r="A6" s="2">
        <v>5</v>
      </c>
      <c r="B6" s="2">
        <v>2</v>
      </c>
      <c r="C6" s="2" t="s">
        <v>32</v>
      </c>
      <c r="D6" s="2">
        <v>1</v>
      </c>
      <c r="E6" s="2" t="s">
        <v>13</v>
      </c>
      <c r="F6" s="2" t="s">
        <v>20</v>
      </c>
      <c r="G6" s="2">
        <v>16</v>
      </c>
      <c r="H6" s="2">
        <v>16</v>
      </c>
      <c r="I6" s="2" t="s">
        <v>15</v>
      </c>
      <c r="J6" s="2" t="s">
        <v>25</v>
      </c>
      <c r="K6" s="2" t="s">
        <v>33</v>
      </c>
      <c r="L6" s="2" t="s">
        <v>34</v>
      </c>
    </row>
    <row r="7" spans="1:12" x14ac:dyDescent="0.25">
      <c r="A7" s="2">
        <v>6</v>
      </c>
      <c r="B7" s="2">
        <v>2</v>
      </c>
      <c r="C7" s="2" t="s">
        <v>35</v>
      </c>
      <c r="D7" s="2">
        <v>1</v>
      </c>
      <c r="E7" s="2" t="s">
        <v>13</v>
      </c>
      <c r="F7" s="2" t="s">
        <v>20</v>
      </c>
      <c r="G7" s="2">
        <v>20.75</v>
      </c>
      <c r="H7" s="2">
        <v>20.75</v>
      </c>
      <c r="I7" s="2" t="s">
        <v>24</v>
      </c>
      <c r="J7" s="2" t="s">
        <v>36</v>
      </c>
      <c r="K7" s="2" t="s">
        <v>37</v>
      </c>
      <c r="L7" s="2" t="s">
        <v>38</v>
      </c>
    </row>
    <row r="8" spans="1:12" x14ac:dyDescent="0.25">
      <c r="A8" s="2">
        <v>7</v>
      </c>
      <c r="B8" s="2">
        <v>3</v>
      </c>
      <c r="C8" s="2" t="s">
        <v>39</v>
      </c>
      <c r="D8" s="2">
        <v>1</v>
      </c>
      <c r="E8" s="2" t="s">
        <v>13</v>
      </c>
      <c r="F8" s="2" t="s">
        <v>40</v>
      </c>
      <c r="G8" s="2">
        <v>16.5</v>
      </c>
      <c r="H8" s="2">
        <v>16.5</v>
      </c>
      <c r="I8" s="2" t="s">
        <v>15</v>
      </c>
      <c r="J8" s="2" t="s">
        <v>29</v>
      </c>
      <c r="K8" s="2" t="s">
        <v>30</v>
      </c>
      <c r="L8" s="2" t="s">
        <v>31</v>
      </c>
    </row>
    <row r="9" spans="1:12" x14ac:dyDescent="0.25">
      <c r="A9" s="2">
        <v>8</v>
      </c>
      <c r="B9" s="2">
        <v>3</v>
      </c>
      <c r="C9" s="2" t="s">
        <v>41</v>
      </c>
      <c r="D9" s="2">
        <v>1</v>
      </c>
      <c r="E9" s="2" t="s">
        <v>13</v>
      </c>
      <c r="F9" s="2" t="s">
        <v>40</v>
      </c>
      <c r="G9" s="2">
        <v>20.75</v>
      </c>
      <c r="H9" s="2">
        <v>20.75</v>
      </c>
      <c r="I9" s="2" t="s">
        <v>24</v>
      </c>
      <c r="J9" s="2" t="s">
        <v>29</v>
      </c>
      <c r="K9" s="2" t="s">
        <v>42</v>
      </c>
      <c r="L9" s="2" t="s">
        <v>43</v>
      </c>
    </row>
    <row r="10" spans="1:12" x14ac:dyDescent="0.25">
      <c r="A10" s="2">
        <v>9</v>
      </c>
      <c r="B10" s="2">
        <v>4</v>
      </c>
      <c r="C10" s="2" t="s">
        <v>39</v>
      </c>
      <c r="D10" s="2">
        <v>1</v>
      </c>
      <c r="E10" s="2" t="s">
        <v>13</v>
      </c>
      <c r="F10" s="2" t="s">
        <v>44</v>
      </c>
      <c r="G10" s="2">
        <v>16.5</v>
      </c>
      <c r="H10" s="2">
        <v>16.5</v>
      </c>
      <c r="I10" s="2" t="s">
        <v>15</v>
      </c>
      <c r="J10" s="2" t="s">
        <v>29</v>
      </c>
      <c r="K10" s="2" t="s">
        <v>30</v>
      </c>
      <c r="L10" s="2" t="s">
        <v>31</v>
      </c>
    </row>
    <row r="11" spans="1:12" x14ac:dyDescent="0.25">
      <c r="A11" s="2">
        <v>10</v>
      </c>
      <c r="B11" s="2">
        <v>5</v>
      </c>
      <c r="C11" s="2" t="s">
        <v>39</v>
      </c>
      <c r="D11" s="2">
        <v>1</v>
      </c>
      <c r="E11" s="2" t="s">
        <v>13</v>
      </c>
      <c r="F11" s="2" t="s">
        <v>45</v>
      </c>
      <c r="G11" s="2">
        <v>16.5</v>
      </c>
      <c r="H11" s="2">
        <v>16.5</v>
      </c>
      <c r="I11" s="2" t="s">
        <v>15</v>
      </c>
      <c r="J11" s="2" t="s">
        <v>29</v>
      </c>
      <c r="K11" s="2" t="s">
        <v>30</v>
      </c>
      <c r="L11" s="2" t="s">
        <v>31</v>
      </c>
    </row>
    <row r="12" spans="1:12" x14ac:dyDescent="0.25">
      <c r="A12" s="2">
        <v>11</v>
      </c>
      <c r="B12" s="2">
        <v>6</v>
      </c>
      <c r="C12" s="2" t="s">
        <v>46</v>
      </c>
      <c r="D12" s="2">
        <v>1</v>
      </c>
      <c r="E12" s="2" t="s">
        <v>13</v>
      </c>
      <c r="F12" s="2" t="s">
        <v>47</v>
      </c>
      <c r="G12" s="2">
        <v>12.75</v>
      </c>
      <c r="H12" s="2">
        <v>12.75</v>
      </c>
      <c r="I12" s="2" t="s">
        <v>48</v>
      </c>
      <c r="J12" s="2" t="s">
        <v>36</v>
      </c>
      <c r="K12" s="2" t="s">
        <v>49</v>
      </c>
      <c r="L12" s="2" t="s">
        <v>50</v>
      </c>
    </row>
    <row r="13" spans="1:12" x14ac:dyDescent="0.25">
      <c r="A13" s="2">
        <v>12</v>
      </c>
      <c r="B13" s="2">
        <v>6</v>
      </c>
      <c r="C13" s="2" t="s">
        <v>51</v>
      </c>
      <c r="D13" s="2">
        <v>1</v>
      </c>
      <c r="E13" s="2" t="s">
        <v>13</v>
      </c>
      <c r="F13" s="2" t="s">
        <v>47</v>
      </c>
      <c r="G13" s="2">
        <v>12</v>
      </c>
      <c r="H13" s="2">
        <v>12</v>
      </c>
      <c r="I13" s="2" t="s">
        <v>48</v>
      </c>
      <c r="J13" s="2" t="s">
        <v>16</v>
      </c>
      <c r="K13" s="2" t="s">
        <v>52</v>
      </c>
      <c r="L13" s="2" t="s">
        <v>53</v>
      </c>
    </row>
    <row r="14" spans="1:12" x14ac:dyDescent="0.25">
      <c r="A14" s="2">
        <v>13</v>
      </c>
      <c r="B14" s="2">
        <v>7</v>
      </c>
      <c r="C14" s="2" t="s">
        <v>54</v>
      </c>
      <c r="D14" s="2">
        <v>1</v>
      </c>
      <c r="E14" s="2" t="s">
        <v>13</v>
      </c>
      <c r="F14" s="2" t="s">
        <v>55</v>
      </c>
      <c r="G14" s="2">
        <v>12.5</v>
      </c>
      <c r="H14" s="2">
        <v>12.5</v>
      </c>
      <c r="I14" s="2" t="s">
        <v>48</v>
      </c>
      <c r="J14" s="2" t="s">
        <v>29</v>
      </c>
      <c r="K14" s="2" t="s">
        <v>56</v>
      </c>
      <c r="L14" s="2" t="s">
        <v>57</v>
      </c>
    </row>
    <row r="15" spans="1:12" x14ac:dyDescent="0.25">
      <c r="A15" s="2">
        <v>14</v>
      </c>
      <c r="B15" s="2">
        <v>8</v>
      </c>
      <c r="C15" s="2" t="s">
        <v>54</v>
      </c>
      <c r="D15" s="2">
        <v>1</v>
      </c>
      <c r="E15" s="2" t="s">
        <v>13</v>
      </c>
      <c r="F15" s="2" t="s">
        <v>58</v>
      </c>
      <c r="G15" s="2">
        <v>12.5</v>
      </c>
      <c r="H15" s="2">
        <v>12.5</v>
      </c>
      <c r="I15" s="2" t="s">
        <v>48</v>
      </c>
      <c r="J15" s="2" t="s">
        <v>29</v>
      </c>
      <c r="K15" s="2" t="s">
        <v>56</v>
      </c>
      <c r="L15" s="2" t="s">
        <v>57</v>
      </c>
    </row>
    <row r="16" spans="1:12" x14ac:dyDescent="0.25">
      <c r="A16" s="2">
        <v>15</v>
      </c>
      <c r="B16" s="2">
        <v>9</v>
      </c>
      <c r="C16" s="2" t="s">
        <v>59</v>
      </c>
      <c r="D16" s="2">
        <v>1</v>
      </c>
      <c r="E16" s="2" t="s">
        <v>13</v>
      </c>
      <c r="F16" s="2" t="s">
        <v>60</v>
      </c>
      <c r="G16" s="2">
        <v>12</v>
      </c>
      <c r="H16" s="2">
        <v>12</v>
      </c>
      <c r="I16" s="2" t="s">
        <v>48</v>
      </c>
      <c r="J16" s="2" t="s">
        <v>16</v>
      </c>
      <c r="K16" s="2" t="s">
        <v>21</v>
      </c>
      <c r="L16" s="2" t="s">
        <v>22</v>
      </c>
    </row>
    <row r="17" spans="1:12" x14ac:dyDescent="0.25">
      <c r="A17" s="2">
        <v>16</v>
      </c>
      <c r="B17" s="2">
        <v>9</v>
      </c>
      <c r="C17" s="2" t="s">
        <v>61</v>
      </c>
      <c r="D17" s="2">
        <v>1</v>
      </c>
      <c r="E17" s="2" t="s">
        <v>13</v>
      </c>
      <c r="F17" s="2" t="s">
        <v>60</v>
      </c>
      <c r="G17" s="2">
        <v>12</v>
      </c>
      <c r="H17" s="2">
        <v>12</v>
      </c>
      <c r="I17" s="2" t="s">
        <v>48</v>
      </c>
      <c r="J17" s="2" t="s">
        <v>25</v>
      </c>
      <c r="K17" s="2" t="s">
        <v>62</v>
      </c>
      <c r="L17" s="2" t="s">
        <v>63</v>
      </c>
    </row>
    <row r="18" spans="1:12" x14ac:dyDescent="0.25">
      <c r="A18" s="2">
        <v>17</v>
      </c>
      <c r="B18" s="2">
        <v>9</v>
      </c>
      <c r="C18" s="2" t="s">
        <v>64</v>
      </c>
      <c r="D18" s="2">
        <v>1</v>
      </c>
      <c r="E18" s="2" t="s">
        <v>13</v>
      </c>
      <c r="F18" s="2" t="s">
        <v>60</v>
      </c>
      <c r="G18" s="2">
        <v>20.5</v>
      </c>
      <c r="H18" s="2">
        <v>20.5</v>
      </c>
      <c r="I18" s="2" t="s">
        <v>24</v>
      </c>
      <c r="J18" s="2" t="s">
        <v>16</v>
      </c>
      <c r="K18" s="2" t="s">
        <v>65</v>
      </c>
      <c r="L18" s="2" t="s">
        <v>66</v>
      </c>
    </row>
    <row r="19" spans="1:12" x14ac:dyDescent="0.25">
      <c r="A19" s="2">
        <v>18</v>
      </c>
      <c r="B19" s="2">
        <v>9</v>
      </c>
      <c r="C19" s="2" t="s">
        <v>28</v>
      </c>
      <c r="D19" s="2">
        <v>1</v>
      </c>
      <c r="E19" s="2" t="s">
        <v>13</v>
      </c>
      <c r="F19" s="2" t="s">
        <v>60</v>
      </c>
      <c r="G19" s="2">
        <v>20.75</v>
      </c>
      <c r="H19" s="2">
        <v>20.75</v>
      </c>
      <c r="I19" s="2" t="s">
        <v>24</v>
      </c>
      <c r="J19" s="2" t="s">
        <v>29</v>
      </c>
      <c r="K19" s="2" t="s">
        <v>30</v>
      </c>
      <c r="L19" s="2" t="s">
        <v>31</v>
      </c>
    </row>
    <row r="20" spans="1:12" x14ac:dyDescent="0.25">
      <c r="A20" s="2">
        <v>19</v>
      </c>
      <c r="B20" s="2">
        <v>9</v>
      </c>
      <c r="C20" s="2" t="s">
        <v>67</v>
      </c>
      <c r="D20" s="2">
        <v>1</v>
      </c>
      <c r="E20" s="2" t="s">
        <v>13</v>
      </c>
      <c r="F20" s="2" t="s">
        <v>60</v>
      </c>
      <c r="G20" s="2">
        <v>12.5</v>
      </c>
      <c r="H20" s="2">
        <v>12.5</v>
      </c>
      <c r="I20" s="2" t="s">
        <v>48</v>
      </c>
      <c r="J20" s="2" t="s">
        <v>29</v>
      </c>
      <c r="K20" s="2" t="s">
        <v>30</v>
      </c>
      <c r="L20" s="2" t="s">
        <v>31</v>
      </c>
    </row>
    <row r="21" spans="1:12" x14ac:dyDescent="0.25">
      <c r="A21" s="2">
        <v>20</v>
      </c>
      <c r="B21" s="2">
        <v>9</v>
      </c>
      <c r="C21" s="2" t="s">
        <v>68</v>
      </c>
      <c r="D21" s="2">
        <v>1</v>
      </c>
      <c r="E21" s="2" t="s">
        <v>13</v>
      </c>
      <c r="F21" s="2" t="s">
        <v>60</v>
      </c>
      <c r="G21" s="2">
        <v>12</v>
      </c>
      <c r="H21" s="2">
        <v>12</v>
      </c>
      <c r="I21" s="2" t="s">
        <v>48</v>
      </c>
      <c r="J21" s="2" t="s">
        <v>25</v>
      </c>
      <c r="K21" s="2" t="s">
        <v>33</v>
      </c>
      <c r="L21" s="2" t="s">
        <v>34</v>
      </c>
    </row>
    <row r="22" spans="1:12" x14ac:dyDescent="0.25">
      <c r="A22" s="2">
        <v>21</v>
      </c>
      <c r="B22" s="2">
        <v>9</v>
      </c>
      <c r="C22" s="2" t="s">
        <v>69</v>
      </c>
      <c r="D22" s="2">
        <v>1</v>
      </c>
      <c r="E22" s="2" t="s">
        <v>13</v>
      </c>
      <c r="F22" s="2" t="s">
        <v>60</v>
      </c>
      <c r="G22" s="2">
        <v>20.75</v>
      </c>
      <c r="H22" s="2">
        <v>20.75</v>
      </c>
      <c r="I22" s="2" t="s">
        <v>24</v>
      </c>
      <c r="J22" s="2" t="s">
        <v>29</v>
      </c>
      <c r="K22" s="2" t="s">
        <v>70</v>
      </c>
      <c r="L22" s="2" t="s">
        <v>71</v>
      </c>
    </row>
    <row r="23" spans="1:12" x14ac:dyDescent="0.25">
      <c r="A23" s="2">
        <v>22</v>
      </c>
      <c r="B23" s="2">
        <v>9</v>
      </c>
      <c r="C23" s="2" t="s">
        <v>72</v>
      </c>
      <c r="D23" s="2">
        <v>1</v>
      </c>
      <c r="E23" s="2" t="s">
        <v>13</v>
      </c>
      <c r="F23" s="2" t="s">
        <v>60</v>
      </c>
      <c r="G23" s="2">
        <v>20.75</v>
      </c>
      <c r="H23" s="2">
        <v>20.75</v>
      </c>
      <c r="I23" s="2" t="s">
        <v>24</v>
      </c>
      <c r="J23" s="2" t="s">
        <v>25</v>
      </c>
      <c r="K23" s="2" t="s">
        <v>73</v>
      </c>
      <c r="L23" s="2" t="s">
        <v>74</v>
      </c>
    </row>
    <row r="24" spans="1:12" x14ac:dyDescent="0.25">
      <c r="A24" s="2">
        <v>23</v>
      </c>
      <c r="B24" s="2">
        <v>9</v>
      </c>
      <c r="C24" s="2" t="s">
        <v>75</v>
      </c>
      <c r="D24" s="2">
        <v>1</v>
      </c>
      <c r="E24" s="2" t="s">
        <v>13</v>
      </c>
      <c r="F24" s="2" t="s">
        <v>60</v>
      </c>
      <c r="G24" s="2">
        <v>12</v>
      </c>
      <c r="H24" s="2">
        <v>12</v>
      </c>
      <c r="I24" s="2" t="s">
        <v>48</v>
      </c>
      <c r="J24" s="2" t="s">
        <v>25</v>
      </c>
      <c r="K24" s="2" t="s">
        <v>76</v>
      </c>
      <c r="L24" s="2" t="s">
        <v>77</v>
      </c>
    </row>
    <row r="25" spans="1:12" x14ac:dyDescent="0.25">
      <c r="A25" s="2">
        <v>24</v>
      </c>
      <c r="B25" s="2">
        <v>10</v>
      </c>
      <c r="C25" s="2" t="s">
        <v>78</v>
      </c>
      <c r="D25" s="2">
        <v>1</v>
      </c>
      <c r="E25" s="2" t="s">
        <v>13</v>
      </c>
      <c r="F25" s="2" t="s">
        <v>79</v>
      </c>
      <c r="G25" s="2">
        <v>20.25</v>
      </c>
      <c r="H25" s="2">
        <v>20.25</v>
      </c>
      <c r="I25" s="2" t="s">
        <v>24</v>
      </c>
      <c r="J25" s="2" t="s">
        <v>25</v>
      </c>
      <c r="K25" s="2" t="s">
        <v>33</v>
      </c>
      <c r="L25" s="2" t="s">
        <v>34</v>
      </c>
    </row>
    <row r="26" spans="1:12" x14ac:dyDescent="0.25">
      <c r="A26" s="2">
        <v>25</v>
      </c>
      <c r="B26" s="2">
        <v>10</v>
      </c>
      <c r="C26" s="2" t="s">
        <v>80</v>
      </c>
      <c r="D26" s="2">
        <v>1</v>
      </c>
      <c r="E26" s="2" t="s">
        <v>13</v>
      </c>
      <c r="F26" s="2" t="s">
        <v>79</v>
      </c>
      <c r="G26" s="2">
        <v>20.75</v>
      </c>
      <c r="H26" s="2">
        <v>20.75</v>
      </c>
      <c r="I26" s="2" t="s">
        <v>24</v>
      </c>
      <c r="J26" s="2" t="s">
        <v>36</v>
      </c>
      <c r="K26" s="2" t="s">
        <v>81</v>
      </c>
      <c r="L26" s="2" t="s">
        <v>82</v>
      </c>
    </row>
    <row r="27" spans="1:12" x14ac:dyDescent="0.25">
      <c r="A27" s="2">
        <v>26</v>
      </c>
      <c r="B27" s="2">
        <v>11</v>
      </c>
      <c r="C27" s="2" t="s">
        <v>83</v>
      </c>
      <c r="D27" s="2">
        <v>1</v>
      </c>
      <c r="E27" s="2" t="s">
        <v>13</v>
      </c>
      <c r="F27" s="2" t="s">
        <v>84</v>
      </c>
      <c r="G27" s="2">
        <v>20.75</v>
      </c>
      <c r="H27" s="2">
        <v>20.75</v>
      </c>
      <c r="I27" s="2" t="s">
        <v>24</v>
      </c>
      <c r="J27" s="2" t="s">
        <v>36</v>
      </c>
      <c r="K27" s="2" t="s">
        <v>49</v>
      </c>
      <c r="L27" s="2" t="s">
        <v>50</v>
      </c>
    </row>
    <row r="28" spans="1:12" x14ac:dyDescent="0.25">
      <c r="A28" s="2">
        <v>27</v>
      </c>
      <c r="B28" s="2">
        <v>11</v>
      </c>
      <c r="C28" s="2" t="s">
        <v>85</v>
      </c>
      <c r="D28" s="2">
        <v>1</v>
      </c>
      <c r="E28" s="2" t="s">
        <v>13</v>
      </c>
      <c r="F28" s="2" t="s">
        <v>84</v>
      </c>
      <c r="G28" s="2">
        <v>20.75</v>
      </c>
      <c r="H28" s="2">
        <v>20.75</v>
      </c>
      <c r="I28" s="2" t="s">
        <v>24</v>
      </c>
      <c r="J28" s="2" t="s">
        <v>36</v>
      </c>
      <c r="K28" s="2" t="s">
        <v>86</v>
      </c>
      <c r="L28" s="2" t="s">
        <v>87</v>
      </c>
    </row>
    <row r="29" spans="1:12" x14ac:dyDescent="0.25">
      <c r="A29" s="2">
        <v>28</v>
      </c>
      <c r="B29" s="2">
        <v>11</v>
      </c>
      <c r="C29" s="2" t="s">
        <v>88</v>
      </c>
      <c r="D29" s="2">
        <v>1</v>
      </c>
      <c r="E29" s="2" t="s">
        <v>13</v>
      </c>
      <c r="F29" s="2" t="s">
        <v>84</v>
      </c>
      <c r="G29" s="2">
        <v>16.75</v>
      </c>
      <c r="H29" s="2">
        <v>16.75</v>
      </c>
      <c r="I29" s="2" t="s">
        <v>15</v>
      </c>
      <c r="J29" s="2" t="s">
        <v>36</v>
      </c>
      <c r="K29" s="2" t="s">
        <v>86</v>
      </c>
      <c r="L29" s="2" t="s">
        <v>87</v>
      </c>
    </row>
    <row r="30" spans="1:12" x14ac:dyDescent="0.25">
      <c r="A30" s="2">
        <v>29</v>
      </c>
      <c r="B30" s="2">
        <v>11</v>
      </c>
      <c r="C30" s="2" t="s">
        <v>89</v>
      </c>
      <c r="D30" s="2">
        <v>1</v>
      </c>
      <c r="E30" s="2" t="s">
        <v>13</v>
      </c>
      <c r="F30" s="2" t="s">
        <v>84</v>
      </c>
      <c r="G30" s="2">
        <v>15.25</v>
      </c>
      <c r="H30" s="2">
        <v>15.25</v>
      </c>
      <c r="I30" s="2" t="s">
        <v>24</v>
      </c>
      <c r="J30" s="2" t="s">
        <v>16</v>
      </c>
      <c r="K30" s="2" t="s">
        <v>90</v>
      </c>
      <c r="L30" s="2" t="s">
        <v>91</v>
      </c>
    </row>
    <row r="31" spans="1:12" x14ac:dyDescent="0.25">
      <c r="A31" s="2">
        <v>30</v>
      </c>
      <c r="B31" s="2">
        <v>12</v>
      </c>
      <c r="C31" s="2" t="s">
        <v>85</v>
      </c>
      <c r="D31" s="2">
        <v>1</v>
      </c>
      <c r="E31" s="2" t="s">
        <v>13</v>
      </c>
      <c r="F31" s="2" t="s">
        <v>92</v>
      </c>
      <c r="G31" s="2">
        <v>20.75</v>
      </c>
      <c r="H31" s="2">
        <v>20.75</v>
      </c>
      <c r="I31" s="2" t="s">
        <v>24</v>
      </c>
      <c r="J31" s="2" t="s">
        <v>36</v>
      </c>
      <c r="K31" s="2" t="s">
        <v>86</v>
      </c>
      <c r="L31" s="2" t="s">
        <v>87</v>
      </c>
    </row>
    <row r="32" spans="1:12" x14ac:dyDescent="0.25">
      <c r="A32" s="2">
        <v>31</v>
      </c>
      <c r="B32" s="2">
        <v>12</v>
      </c>
      <c r="C32" s="2" t="s">
        <v>93</v>
      </c>
      <c r="D32" s="2">
        <v>1</v>
      </c>
      <c r="E32" s="2" t="s">
        <v>13</v>
      </c>
      <c r="F32" s="2" t="s">
        <v>92</v>
      </c>
      <c r="G32" s="2">
        <v>12.75</v>
      </c>
      <c r="H32" s="2">
        <v>12.75</v>
      </c>
      <c r="I32" s="2" t="s">
        <v>48</v>
      </c>
      <c r="J32" s="2" t="s">
        <v>36</v>
      </c>
      <c r="K32" s="2" t="s">
        <v>86</v>
      </c>
      <c r="L32" s="2" t="s">
        <v>87</v>
      </c>
    </row>
    <row r="33" spans="1:12" x14ac:dyDescent="0.25">
      <c r="A33" s="2">
        <v>32</v>
      </c>
      <c r="B33" s="2">
        <v>12</v>
      </c>
      <c r="C33" s="2" t="s">
        <v>94</v>
      </c>
      <c r="D33" s="2">
        <v>1</v>
      </c>
      <c r="E33" s="2" t="s">
        <v>13</v>
      </c>
      <c r="F33" s="2" t="s">
        <v>92</v>
      </c>
      <c r="G33" s="2">
        <v>20.75</v>
      </c>
      <c r="H33" s="2">
        <v>20.75</v>
      </c>
      <c r="I33" s="2" t="s">
        <v>24</v>
      </c>
      <c r="J33" s="2" t="s">
        <v>36</v>
      </c>
      <c r="K33" s="2" t="s">
        <v>95</v>
      </c>
      <c r="L33" s="2" t="s">
        <v>96</v>
      </c>
    </row>
    <row r="34" spans="1:12" x14ac:dyDescent="0.25">
      <c r="A34" s="2">
        <v>33</v>
      </c>
      <c r="B34" s="2">
        <v>12</v>
      </c>
      <c r="C34" s="2" t="s">
        <v>39</v>
      </c>
      <c r="D34" s="2">
        <v>1</v>
      </c>
      <c r="E34" s="2" t="s">
        <v>13</v>
      </c>
      <c r="F34" s="2" t="s">
        <v>92</v>
      </c>
      <c r="G34" s="2">
        <v>16.5</v>
      </c>
      <c r="H34" s="2">
        <v>16.5</v>
      </c>
      <c r="I34" s="2" t="s">
        <v>15</v>
      </c>
      <c r="J34" s="2" t="s">
        <v>29</v>
      </c>
      <c r="K34" s="2" t="s">
        <v>30</v>
      </c>
      <c r="L34" s="2" t="s">
        <v>31</v>
      </c>
    </row>
    <row r="35" spans="1:12" x14ac:dyDescent="0.25">
      <c r="A35" s="2">
        <v>34</v>
      </c>
      <c r="B35" s="2">
        <v>13</v>
      </c>
      <c r="C35" s="2" t="s">
        <v>78</v>
      </c>
      <c r="D35" s="2">
        <v>1</v>
      </c>
      <c r="E35" s="2" t="s">
        <v>13</v>
      </c>
      <c r="F35" s="2" t="s">
        <v>97</v>
      </c>
      <c r="G35" s="2">
        <v>20.25</v>
      </c>
      <c r="H35" s="2">
        <v>20.25</v>
      </c>
      <c r="I35" s="2" t="s">
        <v>24</v>
      </c>
      <c r="J35" s="2" t="s">
        <v>25</v>
      </c>
      <c r="K35" s="2" t="s">
        <v>33</v>
      </c>
      <c r="L35" s="2" t="s">
        <v>34</v>
      </c>
    </row>
    <row r="36" spans="1:12" x14ac:dyDescent="0.25">
      <c r="A36" s="2">
        <v>35</v>
      </c>
      <c r="B36" s="2">
        <v>14</v>
      </c>
      <c r="C36" s="2" t="s">
        <v>51</v>
      </c>
      <c r="D36" s="2">
        <v>1</v>
      </c>
      <c r="E36" s="2" t="s">
        <v>13</v>
      </c>
      <c r="F36" s="2" t="s">
        <v>98</v>
      </c>
      <c r="G36" s="2">
        <v>12</v>
      </c>
      <c r="H36" s="2">
        <v>12</v>
      </c>
      <c r="I36" s="2" t="s">
        <v>48</v>
      </c>
      <c r="J36" s="2" t="s">
        <v>16</v>
      </c>
      <c r="K36" s="2" t="s">
        <v>52</v>
      </c>
      <c r="L36" s="2" t="s">
        <v>53</v>
      </c>
    </row>
    <row r="37" spans="1:12" x14ac:dyDescent="0.25">
      <c r="A37" s="2">
        <v>36</v>
      </c>
      <c r="B37" s="2">
        <v>15</v>
      </c>
      <c r="C37" s="2" t="s">
        <v>99</v>
      </c>
      <c r="D37" s="2">
        <v>1</v>
      </c>
      <c r="E37" s="2" t="s">
        <v>13</v>
      </c>
      <c r="F37" s="2" t="s">
        <v>100</v>
      </c>
      <c r="G37" s="2">
        <v>12</v>
      </c>
      <c r="H37" s="2">
        <v>12</v>
      </c>
      <c r="I37" s="2" t="s">
        <v>48</v>
      </c>
      <c r="J37" s="2" t="s">
        <v>16</v>
      </c>
      <c r="K37" s="2" t="s">
        <v>101</v>
      </c>
      <c r="L37" s="2" t="s">
        <v>102</v>
      </c>
    </row>
    <row r="38" spans="1:12" x14ac:dyDescent="0.25">
      <c r="A38" s="2">
        <v>37</v>
      </c>
      <c r="B38" s="2">
        <v>15</v>
      </c>
      <c r="C38" s="2" t="s">
        <v>23</v>
      </c>
      <c r="D38" s="2">
        <v>1</v>
      </c>
      <c r="E38" s="2" t="s">
        <v>13</v>
      </c>
      <c r="F38" s="2" t="s">
        <v>100</v>
      </c>
      <c r="G38" s="2">
        <v>18.5</v>
      </c>
      <c r="H38" s="2">
        <v>18.5</v>
      </c>
      <c r="I38" s="2" t="s">
        <v>24</v>
      </c>
      <c r="J38" s="2" t="s">
        <v>25</v>
      </c>
      <c r="K38" s="2" t="s">
        <v>26</v>
      </c>
      <c r="L38" s="2" t="s">
        <v>27</v>
      </c>
    </row>
    <row r="39" spans="1:12" x14ac:dyDescent="0.25">
      <c r="A39" s="2">
        <v>38</v>
      </c>
      <c r="B39" s="2">
        <v>15</v>
      </c>
      <c r="C39" s="2" t="s">
        <v>103</v>
      </c>
      <c r="D39" s="2">
        <v>1</v>
      </c>
      <c r="E39" s="2" t="s">
        <v>13</v>
      </c>
      <c r="F39" s="2" t="s">
        <v>100</v>
      </c>
      <c r="G39" s="2">
        <v>20.75</v>
      </c>
      <c r="H39" s="2">
        <v>20.75</v>
      </c>
      <c r="I39" s="2" t="s">
        <v>24</v>
      </c>
      <c r="J39" s="2" t="s">
        <v>29</v>
      </c>
      <c r="K39" s="2" t="s">
        <v>104</v>
      </c>
      <c r="L39" s="2" t="s">
        <v>105</v>
      </c>
    </row>
    <row r="40" spans="1:12" x14ac:dyDescent="0.25">
      <c r="A40" s="2">
        <v>39</v>
      </c>
      <c r="B40" s="2">
        <v>15</v>
      </c>
      <c r="C40" s="2" t="s">
        <v>51</v>
      </c>
      <c r="D40" s="2">
        <v>1</v>
      </c>
      <c r="E40" s="2" t="s">
        <v>13</v>
      </c>
      <c r="F40" s="2" t="s">
        <v>100</v>
      </c>
      <c r="G40" s="2">
        <v>12</v>
      </c>
      <c r="H40" s="2">
        <v>12</v>
      </c>
      <c r="I40" s="2" t="s">
        <v>48</v>
      </c>
      <c r="J40" s="2" t="s">
        <v>16</v>
      </c>
      <c r="K40" s="2" t="s">
        <v>52</v>
      </c>
      <c r="L40" s="2" t="s">
        <v>53</v>
      </c>
    </row>
    <row r="41" spans="1:12" x14ac:dyDescent="0.25">
      <c r="A41" s="2">
        <v>40</v>
      </c>
      <c r="B41" s="2">
        <v>16</v>
      </c>
      <c r="C41" s="2" t="s">
        <v>106</v>
      </c>
      <c r="D41" s="2">
        <v>1</v>
      </c>
      <c r="E41" s="2" t="s">
        <v>13</v>
      </c>
      <c r="F41" s="2" t="s">
        <v>107</v>
      </c>
      <c r="G41" s="2">
        <v>17.95</v>
      </c>
      <c r="H41" s="2">
        <v>17.95</v>
      </c>
      <c r="I41" s="2" t="s">
        <v>24</v>
      </c>
      <c r="J41" s="2" t="s">
        <v>25</v>
      </c>
      <c r="K41" s="2" t="s">
        <v>108</v>
      </c>
      <c r="L41" s="2" t="s">
        <v>109</v>
      </c>
    </row>
    <row r="42" spans="1:12" x14ac:dyDescent="0.25">
      <c r="A42" s="2">
        <v>41</v>
      </c>
      <c r="B42" s="2">
        <v>16</v>
      </c>
      <c r="C42" s="2" t="s">
        <v>110</v>
      </c>
      <c r="D42" s="2">
        <v>1</v>
      </c>
      <c r="E42" s="2" t="s">
        <v>13</v>
      </c>
      <c r="F42" s="2" t="s">
        <v>107</v>
      </c>
      <c r="G42" s="2">
        <v>12</v>
      </c>
      <c r="H42" s="2">
        <v>12</v>
      </c>
      <c r="I42" s="2" t="s">
        <v>48</v>
      </c>
      <c r="J42" s="2" t="s">
        <v>16</v>
      </c>
      <c r="K42" s="2" t="s">
        <v>111</v>
      </c>
      <c r="L42" s="2" t="s">
        <v>112</v>
      </c>
    </row>
    <row r="43" spans="1:12" x14ac:dyDescent="0.25">
      <c r="A43" s="2">
        <v>42</v>
      </c>
      <c r="B43" s="2">
        <v>16</v>
      </c>
      <c r="C43" s="2" t="s">
        <v>35</v>
      </c>
      <c r="D43" s="2">
        <v>1</v>
      </c>
      <c r="E43" s="2" t="s">
        <v>13</v>
      </c>
      <c r="F43" s="2" t="s">
        <v>107</v>
      </c>
      <c r="G43" s="2">
        <v>20.75</v>
      </c>
      <c r="H43" s="2">
        <v>20.75</v>
      </c>
      <c r="I43" s="2" t="s">
        <v>24</v>
      </c>
      <c r="J43" s="2" t="s">
        <v>36</v>
      </c>
      <c r="K43" s="2" t="s">
        <v>37</v>
      </c>
      <c r="L43" s="2" t="s">
        <v>38</v>
      </c>
    </row>
    <row r="44" spans="1:12" x14ac:dyDescent="0.25">
      <c r="A44" s="2">
        <v>43</v>
      </c>
      <c r="B44" s="2">
        <v>17</v>
      </c>
      <c r="C44" s="2" t="s">
        <v>83</v>
      </c>
      <c r="D44" s="2">
        <v>1</v>
      </c>
      <c r="E44" s="2" t="s">
        <v>13</v>
      </c>
      <c r="F44" s="2" t="s">
        <v>113</v>
      </c>
      <c r="G44" s="2">
        <v>20.75</v>
      </c>
      <c r="H44" s="2">
        <v>20.75</v>
      </c>
      <c r="I44" s="2" t="s">
        <v>24</v>
      </c>
      <c r="J44" s="2" t="s">
        <v>36</v>
      </c>
      <c r="K44" s="2" t="s">
        <v>49</v>
      </c>
      <c r="L44" s="2" t="s">
        <v>50</v>
      </c>
    </row>
    <row r="45" spans="1:12" x14ac:dyDescent="0.25">
      <c r="A45" s="2">
        <v>44</v>
      </c>
      <c r="B45" s="2">
        <v>17</v>
      </c>
      <c r="C45" s="2" t="s">
        <v>114</v>
      </c>
      <c r="D45" s="2">
        <v>1</v>
      </c>
      <c r="E45" s="2" t="s">
        <v>13</v>
      </c>
      <c r="F45" s="2" t="s">
        <v>113</v>
      </c>
      <c r="G45" s="2">
        <v>16.25</v>
      </c>
      <c r="H45" s="2">
        <v>16.25</v>
      </c>
      <c r="I45" s="2" t="s">
        <v>15</v>
      </c>
      <c r="J45" s="2" t="s">
        <v>29</v>
      </c>
      <c r="K45" s="2" t="s">
        <v>115</v>
      </c>
      <c r="L45" s="2" t="s">
        <v>116</v>
      </c>
    </row>
    <row r="46" spans="1:12" x14ac:dyDescent="0.25">
      <c r="A46" s="2">
        <v>45</v>
      </c>
      <c r="B46" s="2">
        <v>17</v>
      </c>
      <c r="C46" s="2" t="s">
        <v>23</v>
      </c>
      <c r="D46" s="2">
        <v>1</v>
      </c>
      <c r="E46" s="2" t="s">
        <v>13</v>
      </c>
      <c r="F46" s="2" t="s">
        <v>113</v>
      </c>
      <c r="G46" s="2">
        <v>18.5</v>
      </c>
      <c r="H46" s="2">
        <v>18.5</v>
      </c>
      <c r="I46" s="2" t="s">
        <v>24</v>
      </c>
      <c r="J46" s="2" t="s">
        <v>25</v>
      </c>
      <c r="K46" s="2" t="s">
        <v>26</v>
      </c>
      <c r="L46" s="2" t="s">
        <v>27</v>
      </c>
    </row>
    <row r="47" spans="1:12" x14ac:dyDescent="0.25">
      <c r="A47" s="2">
        <v>46</v>
      </c>
      <c r="B47" s="2">
        <v>17</v>
      </c>
      <c r="C47" s="2" t="s">
        <v>117</v>
      </c>
      <c r="D47" s="2">
        <v>1</v>
      </c>
      <c r="E47" s="2" t="s">
        <v>13</v>
      </c>
      <c r="F47" s="2" t="s">
        <v>113</v>
      </c>
      <c r="G47" s="2">
        <v>14.75</v>
      </c>
      <c r="H47" s="2">
        <v>14.75</v>
      </c>
      <c r="I47" s="2" t="s">
        <v>15</v>
      </c>
      <c r="J47" s="2" t="s">
        <v>25</v>
      </c>
      <c r="K47" s="2" t="s">
        <v>108</v>
      </c>
      <c r="L47" s="2" t="s">
        <v>109</v>
      </c>
    </row>
    <row r="48" spans="1:12" x14ac:dyDescent="0.25">
      <c r="A48" s="2">
        <v>47</v>
      </c>
      <c r="B48" s="2">
        <v>17</v>
      </c>
      <c r="C48" s="2" t="s">
        <v>39</v>
      </c>
      <c r="D48" s="2">
        <v>1</v>
      </c>
      <c r="E48" s="2" t="s">
        <v>13</v>
      </c>
      <c r="F48" s="2" t="s">
        <v>113</v>
      </c>
      <c r="G48" s="2">
        <v>16.5</v>
      </c>
      <c r="H48" s="2">
        <v>16.5</v>
      </c>
      <c r="I48" s="2" t="s">
        <v>15</v>
      </c>
      <c r="J48" s="2" t="s">
        <v>29</v>
      </c>
      <c r="K48" s="2" t="s">
        <v>30</v>
      </c>
      <c r="L48" s="2" t="s">
        <v>31</v>
      </c>
    </row>
    <row r="49" spans="1:12" x14ac:dyDescent="0.25">
      <c r="A49" s="2">
        <v>48</v>
      </c>
      <c r="B49" s="2">
        <v>17</v>
      </c>
      <c r="C49" s="2" t="s">
        <v>118</v>
      </c>
      <c r="D49" s="2">
        <v>1</v>
      </c>
      <c r="E49" s="2" t="s">
        <v>13</v>
      </c>
      <c r="F49" s="2" t="s">
        <v>113</v>
      </c>
      <c r="G49" s="2">
        <v>12.75</v>
      </c>
      <c r="H49" s="2">
        <v>12.75</v>
      </c>
      <c r="I49" s="2" t="s">
        <v>48</v>
      </c>
      <c r="J49" s="2" t="s">
        <v>25</v>
      </c>
      <c r="K49" s="2" t="s">
        <v>119</v>
      </c>
      <c r="L49" s="2" t="s">
        <v>120</v>
      </c>
    </row>
    <row r="50" spans="1:12" x14ac:dyDescent="0.25">
      <c r="A50" s="2">
        <v>49</v>
      </c>
      <c r="B50" s="2">
        <v>17</v>
      </c>
      <c r="C50" s="2" t="s">
        <v>121</v>
      </c>
      <c r="D50" s="2">
        <v>2</v>
      </c>
      <c r="E50" s="2" t="s">
        <v>13</v>
      </c>
      <c r="F50" s="2" t="s">
        <v>113</v>
      </c>
      <c r="G50" s="2">
        <v>16</v>
      </c>
      <c r="H50" s="2">
        <v>32</v>
      </c>
      <c r="I50" s="2" t="s">
        <v>15</v>
      </c>
      <c r="J50" s="2" t="s">
        <v>25</v>
      </c>
      <c r="K50" s="2" t="s">
        <v>122</v>
      </c>
      <c r="L50" s="2" t="s">
        <v>123</v>
      </c>
    </row>
    <row r="51" spans="1:12" x14ac:dyDescent="0.25">
      <c r="A51" s="2">
        <v>50</v>
      </c>
      <c r="B51" s="2">
        <v>17</v>
      </c>
      <c r="C51" s="2" t="s">
        <v>78</v>
      </c>
      <c r="D51" s="2">
        <v>1</v>
      </c>
      <c r="E51" s="2" t="s">
        <v>13</v>
      </c>
      <c r="F51" s="2" t="s">
        <v>113</v>
      </c>
      <c r="G51" s="2">
        <v>20.25</v>
      </c>
      <c r="H51" s="2">
        <v>20.25</v>
      </c>
      <c r="I51" s="2" t="s">
        <v>24</v>
      </c>
      <c r="J51" s="2" t="s">
        <v>25</v>
      </c>
      <c r="K51" s="2" t="s">
        <v>33</v>
      </c>
      <c r="L51" s="2" t="s">
        <v>34</v>
      </c>
    </row>
    <row r="52" spans="1:12" x14ac:dyDescent="0.25">
      <c r="A52" s="2">
        <v>51</v>
      </c>
      <c r="B52" s="2">
        <v>17</v>
      </c>
      <c r="C52" s="2" t="s">
        <v>124</v>
      </c>
      <c r="D52" s="2">
        <v>1</v>
      </c>
      <c r="E52" s="2" t="s">
        <v>13</v>
      </c>
      <c r="F52" s="2" t="s">
        <v>113</v>
      </c>
      <c r="G52" s="2">
        <v>12.5</v>
      </c>
      <c r="H52" s="2">
        <v>12.5</v>
      </c>
      <c r="I52" s="2" t="s">
        <v>48</v>
      </c>
      <c r="J52" s="2" t="s">
        <v>29</v>
      </c>
      <c r="K52" s="2" t="s">
        <v>125</v>
      </c>
      <c r="L52" s="2" t="s">
        <v>126</v>
      </c>
    </row>
    <row r="53" spans="1:12" x14ac:dyDescent="0.25">
      <c r="A53" s="2">
        <v>52</v>
      </c>
      <c r="B53" s="2">
        <v>17</v>
      </c>
      <c r="C53" s="2" t="s">
        <v>127</v>
      </c>
      <c r="D53" s="2">
        <v>1</v>
      </c>
      <c r="E53" s="2" t="s">
        <v>13</v>
      </c>
      <c r="F53" s="2" t="s">
        <v>113</v>
      </c>
      <c r="G53" s="2">
        <v>20.25</v>
      </c>
      <c r="H53" s="2">
        <v>20.25</v>
      </c>
      <c r="I53" s="2" t="s">
        <v>24</v>
      </c>
      <c r="J53" s="2" t="s">
        <v>25</v>
      </c>
      <c r="K53" s="2" t="s">
        <v>128</v>
      </c>
      <c r="L53" s="2" t="s">
        <v>129</v>
      </c>
    </row>
    <row r="54" spans="1:12" x14ac:dyDescent="0.25">
      <c r="A54" s="2">
        <v>53</v>
      </c>
      <c r="B54" s="2">
        <v>18</v>
      </c>
      <c r="C54" s="2" t="s">
        <v>130</v>
      </c>
      <c r="D54" s="2">
        <v>1</v>
      </c>
      <c r="E54" s="2" t="s">
        <v>13</v>
      </c>
      <c r="F54" s="2" t="s">
        <v>131</v>
      </c>
      <c r="G54" s="2">
        <v>20.5</v>
      </c>
      <c r="H54" s="2">
        <v>20.5</v>
      </c>
      <c r="I54" s="2" t="s">
        <v>24</v>
      </c>
      <c r="J54" s="2" t="s">
        <v>16</v>
      </c>
      <c r="K54" s="2" t="s">
        <v>111</v>
      </c>
      <c r="L54" s="2" t="s">
        <v>112</v>
      </c>
    </row>
    <row r="55" spans="1:12" x14ac:dyDescent="0.25">
      <c r="A55" s="2">
        <v>54</v>
      </c>
      <c r="B55" s="2">
        <v>19</v>
      </c>
      <c r="C55" s="2" t="s">
        <v>64</v>
      </c>
      <c r="D55" s="2">
        <v>1</v>
      </c>
      <c r="E55" s="2" t="s">
        <v>13</v>
      </c>
      <c r="F55" s="2" t="s">
        <v>132</v>
      </c>
      <c r="G55" s="2">
        <v>20.5</v>
      </c>
      <c r="H55" s="2">
        <v>20.5</v>
      </c>
      <c r="I55" s="2" t="s">
        <v>24</v>
      </c>
      <c r="J55" s="2" t="s">
        <v>16</v>
      </c>
      <c r="K55" s="2" t="s">
        <v>65</v>
      </c>
      <c r="L55" s="2" t="s">
        <v>66</v>
      </c>
    </row>
    <row r="56" spans="1:12" x14ac:dyDescent="0.25">
      <c r="A56" s="2">
        <v>55</v>
      </c>
      <c r="B56" s="2">
        <v>19</v>
      </c>
      <c r="C56" s="2" t="s">
        <v>133</v>
      </c>
      <c r="D56" s="2">
        <v>1</v>
      </c>
      <c r="E56" s="2" t="s">
        <v>13</v>
      </c>
      <c r="F56" s="2" t="s">
        <v>132</v>
      </c>
      <c r="G56" s="2">
        <v>20.25</v>
      </c>
      <c r="H56" s="2">
        <v>20.25</v>
      </c>
      <c r="I56" s="2" t="s">
        <v>24</v>
      </c>
      <c r="J56" s="2" t="s">
        <v>29</v>
      </c>
      <c r="K56" s="2" t="s">
        <v>134</v>
      </c>
      <c r="L56" s="2" t="s">
        <v>135</v>
      </c>
    </row>
    <row r="57" spans="1:12" x14ac:dyDescent="0.25">
      <c r="A57" s="2">
        <v>56</v>
      </c>
      <c r="B57" s="2">
        <v>20</v>
      </c>
      <c r="C57" s="2" t="s">
        <v>99</v>
      </c>
      <c r="D57" s="2">
        <v>1</v>
      </c>
      <c r="E57" s="2" t="s">
        <v>13</v>
      </c>
      <c r="F57" s="2" t="s">
        <v>136</v>
      </c>
      <c r="G57" s="2">
        <v>12</v>
      </c>
      <c r="H57" s="2">
        <v>12</v>
      </c>
      <c r="I57" s="2" t="s">
        <v>48</v>
      </c>
      <c r="J57" s="2" t="s">
        <v>16</v>
      </c>
      <c r="K57" s="2" t="s">
        <v>101</v>
      </c>
      <c r="L57" s="2" t="s">
        <v>102</v>
      </c>
    </row>
    <row r="58" spans="1:12" x14ac:dyDescent="0.25">
      <c r="A58" s="2">
        <v>57</v>
      </c>
      <c r="B58" s="2">
        <v>20</v>
      </c>
      <c r="C58" s="2" t="s">
        <v>23</v>
      </c>
      <c r="D58" s="2">
        <v>1</v>
      </c>
      <c r="E58" s="2" t="s">
        <v>13</v>
      </c>
      <c r="F58" s="2" t="s">
        <v>136</v>
      </c>
      <c r="G58" s="2">
        <v>18.5</v>
      </c>
      <c r="H58" s="2">
        <v>18.5</v>
      </c>
      <c r="I58" s="2" t="s">
        <v>24</v>
      </c>
      <c r="J58" s="2" t="s">
        <v>25</v>
      </c>
      <c r="K58" s="2" t="s">
        <v>26</v>
      </c>
      <c r="L58" s="2" t="s">
        <v>27</v>
      </c>
    </row>
    <row r="59" spans="1:12" x14ac:dyDescent="0.25">
      <c r="A59" s="2">
        <v>58</v>
      </c>
      <c r="B59" s="2">
        <v>21</v>
      </c>
      <c r="C59" s="2" t="s">
        <v>64</v>
      </c>
      <c r="D59" s="2">
        <v>1</v>
      </c>
      <c r="E59" s="2" t="s">
        <v>13</v>
      </c>
      <c r="F59" s="2" t="s">
        <v>137</v>
      </c>
      <c r="G59" s="2">
        <v>20.5</v>
      </c>
      <c r="H59" s="2">
        <v>20.5</v>
      </c>
      <c r="I59" s="2" t="s">
        <v>24</v>
      </c>
      <c r="J59" s="2" t="s">
        <v>16</v>
      </c>
      <c r="K59" s="2" t="s">
        <v>65</v>
      </c>
      <c r="L59" s="2" t="s">
        <v>66</v>
      </c>
    </row>
    <row r="60" spans="1:12" x14ac:dyDescent="0.25">
      <c r="A60" s="2">
        <v>59</v>
      </c>
      <c r="B60" s="2">
        <v>22</v>
      </c>
      <c r="C60" s="2" t="s">
        <v>23</v>
      </c>
      <c r="D60" s="2">
        <v>1</v>
      </c>
      <c r="E60" s="2" t="s">
        <v>13</v>
      </c>
      <c r="F60" s="2" t="s">
        <v>138</v>
      </c>
      <c r="G60" s="2">
        <v>18.5</v>
      </c>
      <c r="H60" s="2">
        <v>18.5</v>
      </c>
      <c r="I60" s="2" t="s">
        <v>24</v>
      </c>
      <c r="J60" s="2" t="s">
        <v>25</v>
      </c>
      <c r="K60" s="2" t="s">
        <v>26</v>
      </c>
      <c r="L60" s="2" t="s">
        <v>27</v>
      </c>
    </row>
    <row r="61" spans="1:12" x14ac:dyDescent="0.25">
      <c r="A61" s="2">
        <v>60</v>
      </c>
      <c r="B61" s="2">
        <v>22</v>
      </c>
      <c r="C61" s="2" t="s">
        <v>139</v>
      </c>
      <c r="D61" s="2">
        <v>1</v>
      </c>
      <c r="E61" s="2" t="s">
        <v>13</v>
      </c>
      <c r="F61" s="2" t="s">
        <v>138</v>
      </c>
      <c r="G61" s="2">
        <v>16</v>
      </c>
      <c r="H61" s="2">
        <v>16</v>
      </c>
      <c r="I61" s="2" t="s">
        <v>15</v>
      </c>
      <c r="J61" s="2" t="s">
        <v>16</v>
      </c>
      <c r="K61" s="2" t="s">
        <v>65</v>
      </c>
      <c r="L61" s="2" t="s">
        <v>66</v>
      </c>
    </row>
    <row r="62" spans="1:12" x14ac:dyDescent="0.25">
      <c r="A62" s="2">
        <v>61</v>
      </c>
      <c r="B62" s="2">
        <v>22</v>
      </c>
      <c r="C62" s="2" t="s">
        <v>80</v>
      </c>
      <c r="D62" s="2">
        <v>1</v>
      </c>
      <c r="E62" s="2" t="s">
        <v>13</v>
      </c>
      <c r="F62" s="2" t="s">
        <v>138</v>
      </c>
      <c r="G62" s="2">
        <v>20.75</v>
      </c>
      <c r="H62" s="2">
        <v>20.75</v>
      </c>
      <c r="I62" s="2" t="s">
        <v>24</v>
      </c>
      <c r="J62" s="2" t="s">
        <v>36</v>
      </c>
      <c r="K62" s="2" t="s">
        <v>81</v>
      </c>
      <c r="L62" s="2" t="s">
        <v>82</v>
      </c>
    </row>
    <row r="63" spans="1:12" x14ac:dyDescent="0.25">
      <c r="A63" s="2">
        <v>62</v>
      </c>
      <c r="B63" s="2">
        <v>23</v>
      </c>
      <c r="C63" s="2" t="s">
        <v>140</v>
      </c>
      <c r="D63" s="2">
        <v>1</v>
      </c>
      <c r="E63" s="2" t="s">
        <v>13</v>
      </c>
      <c r="F63" s="2" t="s">
        <v>141</v>
      </c>
      <c r="G63" s="2">
        <v>12.75</v>
      </c>
      <c r="H63" s="2">
        <v>12.75</v>
      </c>
      <c r="I63" s="2" t="s">
        <v>48</v>
      </c>
      <c r="J63" s="2" t="s">
        <v>36</v>
      </c>
      <c r="K63" s="2" t="s">
        <v>81</v>
      </c>
      <c r="L63" s="2" t="s">
        <v>82</v>
      </c>
    </row>
    <row r="64" spans="1:12" x14ac:dyDescent="0.25">
      <c r="A64" s="2">
        <v>63</v>
      </c>
      <c r="B64" s="2">
        <v>24</v>
      </c>
      <c r="C64" s="2" t="s">
        <v>142</v>
      </c>
      <c r="D64" s="2">
        <v>1</v>
      </c>
      <c r="E64" s="2" t="s">
        <v>13</v>
      </c>
      <c r="F64" s="2" t="s">
        <v>143</v>
      </c>
      <c r="G64" s="2">
        <v>16.75</v>
      </c>
      <c r="H64" s="2">
        <v>16.75</v>
      </c>
      <c r="I64" s="2" t="s">
        <v>15</v>
      </c>
      <c r="J64" s="2" t="s">
        <v>36</v>
      </c>
      <c r="K64" s="2" t="s">
        <v>49</v>
      </c>
      <c r="L64" s="2" t="s">
        <v>50</v>
      </c>
    </row>
    <row r="65" spans="1:12" x14ac:dyDescent="0.25">
      <c r="A65" s="2">
        <v>64</v>
      </c>
      <c r="B65" s="2">
        <v>24</v>
      </c>
      <c r="C65" s="2" t="s">
        <v>139</v>
      </c>
      <c r="D65" s="2">
        <v>1</v>
      </c>
      <c r="E65" s="2" t="s">
        <v>13</v>
      </c>
      <c r="F65" s="2" t="s">
        <v>143</v>
      </c>
      <c r="G65" s="2">
        <v>16</v>
      </c>
      <c r="H65" s="2">
        <v>16</v>
      </c>
      <c r="I65" s="2" t="s">
        <v>15</v>
      </c>
      <c r="J65" s="2" t="s">
        <v>16</v>
      </c>
      <c r="K65" s="2" t="s">
        <v>65</v>
      </c>
      <c r="L65" s="2" t="s">
        <v>66</v>
      </c>
    </row>
    <row r="66" spans="1:12" x14ac:dyDescent="0.25">
      <c r="A66" s="2">
        <v>65</v>
      </c>
      <c r="B66" s="2">
        <v>24</v>
      </c>
      <c r="C66" s="2" t="s">
        <v>144</v>
      </c>
      <c r="D66" s="2">
        <v>1</v>
      </c>
      <c r="E66" s="2" t="s">
        <v>13</v>
      </c>
      <c r="F66" s="2" t="s">
        <v>143</v>
      </c>
      <c r="G66" s="2">
        <v>12.5</v>
      </c>
      <c r="H66" s="2">
        <v>12.5</v>
      </c>
      <c r="I66" s="2" t="s">
        <v>15</v>
      </c>
      <c r="J66" s="2" t="s">
        <v>16</v>
      </c>
      <c r="K66" s="2" t="s">
        <v>90</v>
      </c>
      <c r="L66" s="2" t="s">
        <v>91</v>
      </c>
    </row>
    <row r="67" spans="1:12" x14ac:dyDescent="0.25">
      <c r="A67" s="2">
        <v>66</v>
      </c>
      <c r="B67" s="2">
        <v>24</v>
      </c>
      <c r="C67" s="2" t="s">
        <v>145</v>
      </c>
      <c r="D67" s="2">
        <v>1</v>
      </c>
      <c r="E67" s="2" t="s">
        <v>13</v>
      </c>
      <c r="F67" s="2" t="s">
        <v>143</v>
      </c>
      <c r="G67" s="2">
        <v>12.5</v>
      </c>
      <c r="H67" s="2">
        <v>12.5</v>
      </c>
      <c r="I67" s="2" t="s">
        <v>48</v>
      </c>
      <c r="J67" s="2" t="s">
        <v>29</v>
      </c>
      <c r="K67" s="2" t="s">
        <v>42</v>
      </c>
      <c r="L67" s="2" t="s">
        <v>43</v>
      </c>
    </row>
    <row r="68" spans="1:12" x14ac:dyDescent="0.25">
      <c r="A68" s="2">
        <v>67</v>
      </c>
      <c r="B68" s="2">
        <v>25</v>
      </c>
      <c r="C68" s="2" t="s">
        <v>146</v>
      </c>
      <c r="D68" s="2">
        <v>1</v>
      </c>
      <c r="E68" s="2" t="s">
        <v>13</v>
      </c>
      <c r="F68" s="2" t="s">
        <v>147</v>
      </c>
      <c r="G68" s="2">
        <v>16.25</v>
      </c>
      <c r="H68" s="2">
        <v>16.25</v>
      </c>
      <c r="I68" s="2" t="s">
        <v>15</v>
      </c>
      <c r="J68" s="2" t="s">
        <v>29</v>
      </c>
      <c r="K68" s="2" t="s">
        <v>134</v>
      </c>
      <c r="L68" s="2" t="s">
        <v>135</v>
      </c>
    </row>
    <row r="69" spans="1:12" x14ac:dyDescent="0.25">
      <c r="A69" s="2">
        <v>68</v>
      </c>
      <c r="B69" s="2">
        <v>25</v>
      </c>
      <c r="C69" s="2" t="s">
        <v>35</v>
      </c>
      <c r="D69" s="2">
        <v>1</v>
      </c>
      <c r="E69" s="2" t="s">
        <v>13</v>
      </c>
      <c r="F69" s="2" t="s">
        <v>147</v>
      </c>
      <c r="G69" s="2">
        <v>20.75</v>
      </c>
      <c r="H69" s="2">
        <v>20.75</v>
      </c>
      <c r="I69" s="2" t="s">
        <v>24</v>
      </c>
      <c r="J69" s="2" t="s">
        <v>36</v>
      </c>
      <c r="K69" s="2" t="s">
        <v>37</v>
      </c>
      <c r="L69" s="2" t="s">
        <v>38</v>
      </c>
    </row>
    <row r="70" spans="1:12" x14ac:dyDescent="0.25">
      <c r="A70" s="2">
        <v>69</v>
      </c>
      <c r="B70" s="2">
        <v>26</v>
      </c>
      <c r="C70" s="2" t="s">
        <v>59</v>
      </c>
      <c r="D70" s="2">
        <v>1</v>
      </c>
      <c r="E70" s="2" t="s">
        <v>13</v>
      </c>
      <c r="F70" s="2" t="s">
        <v>148</v>
      </c>
      <c r="G70" s="2">
        <v>12</v>
      </c>
      <c r="H70" s="2">
        <v>12</v>
      </c>
      <c r="I70" s="2" t="s">
        <v>48</v>
      </c>
      <c r="J70" s="2" t="s">
        <v>16</v>
      </c>
      <c r="K70" s="2" t="s">
        <v>21</v>
      </c>
      <c r="L70" s="2" t="s">
        <v>22</v>
      </c>
    </row>
    <row r="71" spans="1:12" x14ac:dyDescent="0.25">
      <c r="A71" s="2">
        <v>70</v>
      </c>
      <c r="B71" s="2">
        <v>26</v>
      </c>
      <c r="C71" s="2" t="s">
        <v>149</v>
      </c>
      <c r="D71" s="2">
        <v>1</v>
      </c>
      <c r="E71" s="2" t="s">
        <v>13</v>
      </c>
      <c r="F71" s="2" t="s">
        <v>148</v>
      </c>
      <c r="G71" s="2">
        <v>20.25</v>
      </c>
      <c r="H71" s="2">
        <v>20.25</v>
      </c>
      <c r="I71" s="2" t="s">
        <v>24</v>
      </c>
      <c r="J71" s="2" t="s">
        <v>25</v>
      </c>
      <c r="K71" s="2" t="s">
        <v>76</v>
      </c>
      <c r="L71" s="2" t="s">
        <v>77</v>
      </c>
    </row>
    <row r="72" spans="1:12" x14ac:dyDescent="0.25">
      <c r="A72" s="2">
        <v>71</v>
      </c>
      <c r="B72" s="2">
        <v>27</v>
      </c>
      <c r="C72" s="2" t="s">
        <v>83</v>
      </c>
      <c r="D72" s="2">
        <v>1</v>
      </c>
      <c r="E72" s="2" t="s">
        <v>13</v>
      </c>
      <c r="F72" s="2" t="s">
        <v>150</v>
      </c>
      <c r="G72" s="2">
        <v>20.75</v>
      </c>
      <c r="H72" s="2">
        <v>20.75</v>
      </c>
      <c r="I72" s="2" t="s">
        <v>24</v>
      </c>
      <c r="J72" s="2" t="s">
        <v>36</v>
      </c>
      <c r="K72" s="2" t="s">
        <v>49</v>
      </c>
      <c r="L72" s="2" t="s">
        <v>50</v>
      </c>
    </row>
    <row r="73" spans="1:12" x14ac:dyDescent="0.25">
      <c r="A73" s="2">
        <v>72</v>
      </c>
      <c r="B73" s="2">
        <v>27</v>
      </c>
      <c r="C73" s="2" t="s">
        <v>19</v>
      </c>
      <c r="D73" s="2">
        <v>1</v>
      </c>
      <c r="E73" s="2" t="s">
        <v>13</v>
      </c>
      <c r="F73" s="2" t="s">
        <v>150</v>
      </c>
      <c r="G73" s="2">
        <v>16</v>
      </c>
      <c r="H73" s="2">
        <v>16</v>
      </c>
      <c r="I73" s="2" t="s">
        <v>15</v>
      </c>
      <c r="J73" s="2" t="s">
        <v>16</v>
      </c>
      <c r="K73" s="2" t="s">
        <v>21</v>
      </c>
      <c r="L73" s="2" t="s">
        <v>22</v>
      </c>
    </row>
    <row r="74" spans="1:12" x14ac:dyDescent="0.25">
      <c r="A74" s="2">
        <v>73</v>
      </c>
      <c r="B74" s="2">
        <v>27</v>
      </c>
      <c r="C74" s="2" t="s">
        <v>127</v>
      </c>
      <c r="D74" s="2">
        <v>1</v>
      </c>
      <c r="E74" s="2" t="s">
        <v>13</v>
      </c>
      <c r="F74" s="2" t="s">
        <v>150</v>
      </c>
      <c r="G74" s="2">
        <v>20.25</v>
      </c>
      <c r="H74" s="2">
        <v>20.25</v>
      </c>
      <c r="I74" s="2" t="s">
        <v>24</v>
      </c>
      <c r="J74" s="2" t="s">
        <v>25</v>
      </c>
      <c r="K74" s="2" t="s">
        <v>128</v>
      </c>
      <c r="L74" s="2" t="s">
        <v>129</v>
      </c>
    </row>
    <row r="75" spans="1:12" x14ac:dyDescent="0.25">
      <c r="A75" s="2">
        <v>74</v>
      </c>
      <c r="B75" s="2">
        <v>28</v>
      </c>
      <c r="C75" s="2" t="s">
        <v>151</v>
      </c>
      <c r="D75" s="2">
        <v>1</v>
      </c>
      <c r="E75" s="2" t="s">
        <v>13</v>
      </c>
      <c r="F75" s="2" t="s">
        <v>152</v>
      </c>
      <c r="G75" s="2">
        <v>12.75</v>
      </c>
      <c r="H75" s="2">
        <v>12.75</v>
      </c>
      <c r="I75" s="2" t="s">
        <v>48</v>
      </c>
      <c r="J75" s="2" t="s">
        <v>36</v>
      </c>
      <c r="K75" s="2" t="s">
        <v>153</v>
      </c>
      <c r="L75" s="2" t="s">
        <v>154</v>
      </c>
    </row>
    <row r="76" spans="1:12" x14ac:dyDescent="0.25">
      <c r="A76" s="2">
        <v>75</v>
      </c>
      <c r="B76" s="2">
        <v>29</v>
      </c>
      <c r="C76" s="2" t="s">
        <v>61</v>
      </c>
      <c r="D76" s="2">
        <v>1</v>
      </c>
      <c r="E76" s="2" t="s">
        <v>13</v>
      </c>
      <c r="F76" s="2" t="s">
        <v>155</v>
      </c>
      <c r="G76" s="2">
        <v>12</v>
      </c>
      <c r="H76" s="2">
        <v>12</v>
      </c>
      <c r="I76" s="2" t="s">
        <v>48</v>
      </c>
      <c r="J76" s="2" t="s">
        <v>25</v>
      </c>
      <c r="K76" s="2" t="s">
        <v>62</v>
      </c>
      <c r="L76" s="2" t="s">
        <v>63</v>
      </c>
    </row>
    <row r="77" spans="1:12" x14ac:dyDescent="0.25">
      <c r="A77" s="2">
        <v>76</v>
      </c>
      <c r="B77" s="2">
        <v>30</v>
      </c>
      <c r="C77" s="2" t="s">
        <v>35</v>
      </c>
      <c r="D77" s="2">
        <v>1</v>
      </c>
      <c r="E77" s="2" t="s">
        <v>13</v>
      </c>
      <c r="F77" s="2" t="s">
        <v>156</v>
      </c>
      <c r="G77" s="2">
        <v>20.75</v>
      </c>
      <c r="H77" s="2">
        <v>20.75</v>
      </c>
      <c r="I77" s="2" t="s">
        <v>24</v>
      </c>
      <c r="J77" s="2" t="s">
        <v>36</v>
      </c>
      <c r="K77" s="2" t="s">
        <v>37</v>
      </c>
      <c r="L77" s="2" t="s">
        <v>38</v>
      </c>
    </row>
    <row r="78" spans="1:12" x14ac:dyDescent="0.25">
      <c r="A78" s="2">
        <v>77</v>
      </c>
      <c r="B78" s="2">
        <v>31</v>
      </c>
      <c r="C78" s="2" t="s">
        <v>32</v>
      </c>
      <c r="D78" s="2">
        <v>1</v>
      </c>
      <c r="E78" s="2" t="s">
        <v>13</v>
      </c>
      <c r="F78" s="2" t="s">
        <v>157</v>
      </c>
      <c r="G78" s="2">
        <v>16</v>
      </c>
      <c r="H78" s="2">
        <v>16</v>
      </c>
      <c r="I78" s="2" t="s">
        <v>15</v>
      </c>
      <c r="J78" s="2" t="s">
        <v>25</v>
      </c>
      <c r="K78" s="2" t="s">
        <v>33</v>
      </c>
      <c r="L78" s="2" t="s">
        <v>34</v>
      </c>
    </row>
    <row r="79" spans="1:12" x14ac:dyDescent="0.25">
      <c r="A79" s="2">
        <v>78</v>
      </c>
      <c r="B79" s="2">
        <v>31</v>
      </c>
      <c r="C79" s="2" t="s">
        <v>158</v>
      </c>
      <c r="D79" s="2">
        <v>1</v>
      </c>
      <c r="E79" s="2" t="s">
        <v>13</v>
      </c>
      <c r="F79" s="2" t="s">
        <v>157</v>
      </c>
      <c r="G79" s="2">
        <v>9.75</v>
      </c>
      <c r="H79" s="2">
        <v>9.75</v>
      </c>
      <c r="I79" s="2" t="s">
        <v>48</v>
      </c>
      <c r="J79" s="2" t="s">
        <v>16</v>
      </c>
      <c r="K79" s="2" t="s">
        <v>90</v>
      </c>
      <c r="L79" s="2" t="s">
        <v>91</v>
      </c>
    </row>
    <row r="80" spans="1:12" x14ac:dyDescent="0.25">
      <c r="A80" s="2">
        <v>79</v>
      </c>
      <c r="B80" s="2">
        <v>32</v>
      </c>
      <c r="C80" s="2" t="s">
        <v>99</v>
      </c>
      <c r="D80" s="2">
        <v>1</v>
      </c>
      <c r="E80" s="2" t="s">
        <v>13</v>
      </c>
      <c r="F80" s="2" t="s">
        <v>159</v>
      </c>
      <c r="G80" s="2">
        <v>12</v>
      </c>
      <c r="H80" s="2">
        <v>12</v>
      </c>
      <c r="I80" s="2" t="s">
        <v>48</v>
      </c>
      <c r="J80" s="2" t="s">
        <v>16</v>
      </c>
      <c r="K80" s="2" t="s">
        <v>101</v>
      </c>
      <c r="L80" s="2" t="s">
        <v>102</v>
      </c>
    </row>
    <row r="81" spans="1:12" x14ac:dyDescent="0.25">
      <c r="A81" s="2">
        <v>80</v>
      </c>
      <c r="B81" s="2">
        <v>32</v>
      </c>
      <c r="C81" s="2" t="s">
        <v>160</v>
      </c>
      <c r="D81" s="2">
        <v>1</v>
      </c>
      <c r="E81" s="2" t="s">
        <v>13</v>
      </c>
      <c r="F81" s="2" t="s">
        <v>159</v>
      </c>
      <c r="G81" s="2">
        <v>20.25</v>
      </c>
      <c r="H81" s="2">
        <v>20.25</v>
      </c>
      <c r="I81" s="2" t="s">
        <v>24</v>
      </c>
      <c r="J81" s="2" t="s">
        <v>25</v>
      </c>
      <c r="K81" s="2" t="s">
        <v>62</v>
      </c>
      <c r="L81" s="2" t="s">
        <v>63</v>
      </c>
    </row>
    <row r="82" spans="1:12" x14ac:dyDescent="0.25">
      <c r="A82" s="2">
        <v>81</v>
      </c>
      <c r="B82" s="2">
        <v>32</v>
      </c>
      <c r="C82" s="2" t="s">
        <v>64</v>
      </c>
      <c r="D82" s="2">
        <v>1</v>
      </c>
      <c r="E82" s="2" t="s">
        <v>13</v>
      </c>
      <c r="F82" s="2" t="s">
        <v>159</v>
      </c>
      <c r="G82" s="2">
        <v>20.5</v>
      </c>
      <c r="H82" s="2">
        <v>20.5</v>
      </c>
      <c r="I82" s="2" t="s">
        <v>24</v>
      </c>
      <c r="J82" s="2" t="s">
        <v>16</v>
      </c>
      <c r="K82" s="2" t="s">
        <v>65</v>
      </c>
      <c r="L82" s="2" t="s">
        <v>66</v>
      </c>
    </row>
    <row r="83" spans="1:12" x14ac:dyDescent="0.25">
      <c r="A83" s="2">
        <v>82</v>
      </c>
      <c r="B83" s="2">
        <v>32</v>
      </c>
      <c r="C83" s="2" t="s">
        <v>39</v>
      </c>
      <c r="D83" s="2">
        <v>1</v>
      </c>
      <c r="E83" s="2" t="s">
        <v>13</v>
      </c>
      <c r="F83" s="2" t="s">
        <v>159</v>
      </c>
      <c r="G83" s="2">
        <v>16.5</v>
      </c>
      <c r="H83" s="2">
        <v>16.5</v>
      </c>
      <c r="I83" s="2" t="s">
        <v>15</v>
      </c>
      <c r="J83" s="2" t="s">
        <v>29</v>
      </c>
      <c r="K83" s="2" t="s">
        <v>30</v>
      </c>
      <c r="L83" s="2" t="s">
        <v>31</v>
      </c>
    </row>
    <row r="84" spans="1:12" x14ac:dyDescent="0.25">
      <c r="A84" s="2">
        <v>83</v>
      </c>
      <c r="B84" s="2">
        <v>33</v>
      </c>
      <c r="C84" s="2" t="s">
        <v>83</v>
      </c>
      <c r="D84" s="2">
        <v>1</v>
      </c>
      <c r="E84" s="2" t="s">
        <v>13</v>
      </c>
      <c r="F84" s="2" t="s">
        <v>161</v>
      </c>
      <c r="G84" s="2">
        <v>20.75</v>
      </c>
      <c r="H84" s="2">
        <v>20.75</v>
      </c>
      <c r="I84" s="2" t="s">
        <v>24</v>
      </c>
      <c r="J84" s="2" t="s">
        <v>36</v>
      </c>
      <c r="K84" s="2" t="s">
        <v>49</v>
      </c>
      <c r="L84" s="2" t="s">
        <v>50</v>
      </c>
    </row>
    <row r="85" spans="1:12" x14ac:dyDescent="0.25">
      <c r="A85" s="2">
        <v>84</v>
      </c>
      <c r="B85" s="2">
        <v>33</v>
      </c>
      <c r="C85" s="2" t="s">
        <v>61</v>
      </c>
      <c r="D85" s="2">
        <v>1</v>
      </c>
      <c r="E85" s="2" t="s">
        <v>13</v>
      </c>
      <c r="F85" s="2" t="s">
        <v>161</v>
      </c>
      <c r="G85" s="2">
        <v>12</v>
      </c>
      <c r="H85" s="2">
        <v>12</v>
      </c>
      <c r="I85" s="2" t="s">
        <v>48</v>
      </c>
      <c r="J85" s="2" t="s">
        <v>25</v>
      </c>
      <c r="K85" s="2" t="s">
        <v>62</v>
      </c>
      <c r="L85" s="2" t="s">
        <v>63</v>
      </c>
    </row>
    <row r="86" spans="1:12" x14ac:dyDescent="0.25">
      <c r="A86" s="2">
        <v>85</v>
      </c>
      <c r="B86" s="2">
        <v>34</v>
      </c>
      <c r="C86" s="2" t="s">
        <v>51</v>
      </c>
      <c r="D86" s="2">
        <v>1</v>
      </c>
      <c r="E86" s="2" t="s">
        <v>13</v>
      </c>
      <c r="F86" s="2" t="s">
        <v>162</v>
      </c>
      <c r="G86" s="2">
        <v>12</v>
      </c>
      <c r="H86" s="2">
        <v>12</v>
      </c>
      <c r="I86" s="2" t="s">
        <v>48</v>
      </c>
      <c r="J86" s="2" t="s">
        <v>16</v>
      </c>
      <c r="K86" s="2" t="s">
        <v>52</v>
      </c>
      <c r="L86" s="2" t="s">
        <v>53</v>
      </c>
    </row>
    <row r="87" spans="1:12" x14ac:dyDescent="0.25">
      <c r="A87" s="2">
        <v>86</v>
      </c>
      <c r="B87" s="2">
        <v>35</v>
      </c>
      <c r="C87" s="2" t="s">
        <v>163</v>
      </c>
      <c r="D87" s="2">
        <v>1</v>
      </c>
      <c r="E87" s="2" t="s">
        <v>13</v>
      </c>
      <c r="F87" s="2" t="s">
        <v>164</v>
      </c>
      <c r="G87" s="2">
        <v>16</v>
      </c>
      <c r="H87" s="2">
        <v>16</v>
      </c>
      <c r="I87" s="2" t="s">
        <v>15</v>
      </c>
      <c r="J87" s="2" t="s">
        <v>25</v>
      </c>
      <c r="K87" s="2" t="s">
        <v>62</v>
      </c>
      <c r="L87" s="2" t="s">
        <v>63</v>
      </c>
    </row>
    <row r="88" spans="1:12" x14ac:dyDescent="0.25">
      <c r="A88" s="2">
        <v>87</v>
      </c>
      <c r="B88" s="2">
        <v>35</v>
      </c>
      <c r="C88" s="2" t="s">
        <v>165</v>
      </c>
      <c r="D88" s="2">
        <v>1</v>
      </c>
      <c r="E88" s="2" t="s">
        <v>13</v>
      </c>
      <c r="F88" s="2" t="s">
        <v>164</v>
      </c>
      <c r="G88" s="2">
        <v>17.5</v>
      </c>
      <c r="H88" s="2">
        <v>17.5</v>
      </c>
      <c r="I88" s="2" t="s">
        <v>24</v>
      </c>
      <c r="J88" s="2" t="s">
        <v>16</v>
      </c>
      <c r="K88" s="2" t="s">
        <v>166</v>
      </c>
      <c r="L88" s="2" t="s">
        <v>167</v>
      </c>
    </row>
    <row r="89" spans="1:12" x14ac:dyDescent="0.25">
      <c r="A89" s="2">
        <v>88</v>
      </c>
      <c r="B89" s="2">
        <v>35</v>
      </c>
      <c r="C89" s="2" t="s">
        <v>144</v>
      </c>
      <c r="D89" s="2">
        <v>1</v>
      </c>
      <c r="E89" s="2" t="s">
        <v>13</v>
      </c>
      <c r="F89" s="2" t="s">
        <v>164</v>
      </c>
      <c r="G89" s="2">
        <v>12.5</v>
      </c>
      <c r="H89" s="2">
        <v>12.5</v>
      </c>
      <c r="I89" s="2" t="s">
        <v>15</v>
      </c>
      <c r="J89" s="2" t="s">
        <v>16</v>
      </c>
      <c r="K89" s="2" t="s">
        <v>90</v>
      </c>
      <c r="L89" s="2" t="s">
        <v>91</v>
      </c>
    </row>
    <row r="90" spans="1:12" x14ac:dyDescent="0.25">
      <c r="A90" s="2">
        <v>89</v>
      </c>
      <c r="B90" s="2">
        <v>35</v>
      </c>
      <c r="C90" s="2" t="s">
        <v>35</v>
      </c>
      <c r="D90" s="2">
        <v>1</v>
      </c>
      <c r="E90" s="2" t="s">
        <v>13</v>
      </c>
      <c r="F90" s="2" t="s">
        <v>164</v>
      </c>
      <c r="G90" s="2">
        <v>20.75</v>
      </c>
      <c r="H90" s="2">
        <v>20.75</v>
      </c>
      <c r="I90" s="2" t="s">
        <v>24</v>
      </c>
      <c r="J90" s="2" t="s">
        <v>36</v>
      </c>
      <c r="K90" s="2" t="s">
        <v>37</v>
      </c>
      <c r="L90" s="2" t="s">
        <v>38</v>
      </c>
    </row>
    <row r="91" spans="1:12" x14ac:dyDescent="0.25">
      <c r="A91" s="2">
        <v>90</v>
      </c>
      <c r="B91" s="2">
        <v>36</v>
      </c>
      <c r="C91" s="2" t="s">
        <v>142</v>
      </c>
      <c r="D91" s="2">
        <v>1</v>
      </c>
      <c r="E91" s="2" t="s">
        <v>13</v>
      </c>
      <c r="F91" s="2" t="s">
        <v>168</v>
      </c>
      <c r="G91" s="2">
        <v>16.75</v>
      </c>
      <c r="H91" s="2">
        <v>16.75</v>
      </c>
      <c r="I91" s="2" t="s">
        <v>15</v>
      </c>
      <c r="J91" s="2" t="s">
        <v>36</v>
      </c>
      <c r="K91" s="2" t="s">
        <v>49</v>
      </c>
      <c r="L91" s="2" t="s">
        <v>50</v>
      </c>
    </row>
    <row r="92" spans="1:12" x14ac:dyDescent="0.25">
      <c r="A92" s="2">
        <v>91</v>
      </c>
      <c r="B92" s="2">
        <v>36</v>
      </c>
      <c r="C92" s="2" t="s">
        <v>19</v>
      </c>
      <c r="D92" s="2">
        <v>1</v>
      </c>
      <c r="E92" s="2" t="s">
        <v>13</v>
      </c>
      <c r="F92" s="2" t="s">
        <v>168</v>
      </c>
      <c r="G92" s="2">
        <v>16</v>
      </c>
      <c r="H92" s="2">
        <v>16</v>
      </c>
      <c r="I92" s="2" t="s">
        <v>15</v>
      </c>
      <c r="J92" s="2" t="s">
        <v>16</v>
      </c>
      <c r="K92" s="2" t="s">
        <v>21</v>
      </c>
      <c r="L92" s="2" t="s">
        <v>22</v>
      </c>
    </row>
    <row r="93" spans="1:12" x14ac:dyDescent="0.25">
      <c r="A93" s="2">
        <v>92</v>
      </c>
      <c r="B93" s="2">
        <v>37</v>
      </c>
      <c r="C93" s="2" t="s">
        <v>28</v>
      </c>
      <c r="D93" s="2">
        <v>1</v>
      </c>
      <c r="E93" s="2" t="s">
        <v>13</v>
      </c>
      <c r="F93" s="2" t="s">
        <v>169</v>
      </c>
      <c r="G93" s="2">
        <v>20.75</v>
      </c>
      <c r="H93" s="2">
        <v>20.75</v>
      </c>
      <c r="I93" s="2" t="s">
        <v>24</v>
      </c>
      <c r="J93" s="2" t="s">
        <v>29</v>
      </c>
      <c r="K93" s="2" t="s">
        <v>30</v>
      </c>
      <c r="L93" s="2" t="s">
        <v>31</v>
      </c>
    </row>
    <row r="94" spans="1:12" x14ac:dyDescent="0.25">
      <c r="A94" s="2">
        <v>93</v>
      </c>
      <c r="B94" s="2">
        <v>37</v>
      </c>
      <c r="C94" s="2" t="s">
        <v>78</v>
      </c>
      <c r="D94" s="2">
        <v>1</v>
      </c>
      <c r="E94" s="2" t="s">
        <v>13</v>
      </c>
      <c r="F94" s="2" t="s">
        <v>169</v>
      </c>
      <c r="G94" s="2">
        <v>20.25</v>
      </c>
      <c r="H94" s="2">
        <v>20.25</v>
      </c>
      <c r="I94" s="2" t="s">
        <v>24</v>
      </c>
      <c r="J94" s="2" t="s">
        <v>25</v>
      </c>
      <c r="K94" s="2" t="s">
        <v>33</v>
      </c>
      <c r="L94" s="2" t="s">
        <v>34</v>
      </c>
    </row>
    <row r="95" spans="1:12" x14ac:dyDescent="0.25">
      <c r="A95" s="2">
        <v>94</v>
      </c>
      <c r="B95" s="2">
        <v>38</v>
      </c>
      <c r="C95" s="2" t="s">
        <v>170</v>
      </c>
      <c r="D95" s="2">
        <v>1</v>
      </c>
      <c r="E95" s="2" t="s">
        <v>13</v>
      </c>
      <c r="F95" s="2" t="s">
        <v>171</v>
      </c>
      <c r="G95" s="2">
        <v>10.5</v>
      </c>
      <c r="H95" s="2">
        <v>10.5</v>
      </c>
      <c r="I95" s="2" t="s">
        <v>48</v>
      </c>
      <c r="J95" s="2" t="s">
        <v>16</v>
      </c>
      <c r="K95" s="2" t="s">
        <v>17</v>
      </c>
      <c r="L95" s="2" t="s">
        <v>18</v>
      </c>
    </row>
    <row r="96" spans="1:12" x14ac:dyDescent="0.25">
      <c r="A96" s="2">
        <v>95</v>
      </c>
      <c r="B96" s="2">
        <v>38</v>
      </c>
      <c r="C96" s="2" t="s">
        <v>64</v>
      </c>
      <c r="D96" s="2">
        <v>1</v>
      </c>
      <c r="E96" s="2" t="s">
        <v>13</v>
      </c>
      <c r="F96" s="2" t="s">
        <v>171</v>
      </c>
      <c r="G96" s="2">
        <v>20.5</v>
      </c>
      <c r="H96" s="2">
        <v>20.5</v>
      </c>
      <c r="I96" s="2" t="s">
        <v>24</v>
      </c>
      <c r="J96" s="2" t="s">
        <v>16</v>
      </c>
      <c r="K96" s="2" t="s">
        <v>65</v>
      </c>
      <c r="L96" s="2" t="s">
        <v>66</v>
      </c>
    </row>
    <row r="97" spans="1:12" x14ac:dyDescent="0.25">
      <c r="A97" s="2">
        <v>96</v>
      </c>
      <c r="B97" s="2">
        <v>39</v>
      </c>
      <c r="C97" s="2" t="s">
        <v>28</v>
      </c>
      <c r="D97" s="2">
        <v>1</v>
      </c>
      <c r="E97" s="2" t="s">
        <v>13</v>
      </c>
      <c r="F97" s="2" t="s">
        <v>172</v>
      </c>
      <c r="G97" s="2">
        <v>20.75</v>
      </c>
      <c r="H97" s="2">
        <v>20.75</v>
      </c>
      <c r="I97" s="2" t="s">
        <v>24</v>
      </c>
      <c r="J97" s="2" t="s">
        <v>29</v>
      </c>
      <c r="K97" s="2" t="s">
        <v>30</v>
      </c>
      <c r="L97" s="2" t="s">
        <v>31</v>
      </c>
    </row>
    <row r="98" spans="1:12" x14ac:dyDescent="0.25">
      <c r="A98" s="2">
        <v>97</v>
      </c>
      <c r="B98" s="2">
        <v>40</v>
      </c>
      <c r="C98" s="2" t="s">
        <v>106</v>
      </c>
      <c r="D98" s="2">
        <v>1</v>
      </c>
      <c r="E98" s="2" t="s">
        <v>13</v>
      </c>
      <c r="F98" s="2" t="s">
        <v>173</v>
      </c>
      <c r="G98" s="2">
        <v>17.95</v>
      </c>
      <c r="H98" s="2">
        <v>17.95</v>
      </c>
      <c r="I98" s="2" t="s">
        <v>24</v>
      </c>
      <c r="J98" s="2" t="s">
        <v>25</v>
      </c>
      <c r="K98" s="2" t="s">
        <v>108</v>
      </c>
      <c r="L98" s="2" t="s">
        <v>109</v>
      </c>
    </row>
    <row r="99" spans="1:12" x14ac:dyDescent="0.25">
      <c r="A99" s="2">
        <v>98</v>
      </c>
      <c r="B99" s="2">
        <v>40</v>
      </c>
      <c r="C99" s="2" t="s">
        <v>140</v>
      </c>
      <c r="D99" s="2">
        <v>1</v>
      </c>
      <c r="E99" s="2" t="s">
        <v>13</v>
      </c>
      <c r="F99" s="2" t="s">
        <v>173</v>
      </c>
      <c r="G99" s="2">
        <v>12.75</v>
      </c>
      <c r="H99" s="2">
        <v>12.75</v>
      </c>
      <c r="I99" s="2" t="s">
        <v>48</v>
      </c>
      <c r="J99" s="2" t="s">
        <v>36</v>
      </c>
      <c r="K99" s="2" t="s">
        <v>81</v>
      </c>
      <c r="L99" s="2" t="s">
        <v>82</v>
      </c>
    </row>
    <row r="100" spans="1:12" x14ac:dyDescent="0.25">
      <c r="A100" s="2">
        <v>99</v>
      </c>
      <c r="B100" s="2">
        <v>41</v>
      </c>
      <c r="C100" s="2" t="s">
        <v>117</v>
      </c>
      <c r="D100" s="2">
        <v>1</v>
      </c>
      <c r="E100" s="2" t="s">
        <v>13</v>
      </c>
      <c r="F100" s="2" t="s">
        <v>174</v>
      </c>
      <c r="G100" s="2">
        <v>14.75</v>
      </c>
      <c r="H100" s="2">
        <v>14.75</v>
      </c>
      <c r="I100" s="2" t="s">
        <v>15</v>
      </c>
      <c r="J100" s="2" t="s">
        <v>25</v>
      </c>
      <c r="K100" s="2" t="s">
        <v>108</v>
      </c>
      <c r="L100" s="2" t="s">
        <v>109</v>
      </c>
    </row>
    <row r="101" spans="1:12" x14ac:dyDescent="0.25">
      <c r="A101" s="2">
        <v>100</v>
      </c>
      <c r="B101" s="2">
        <v>41</v>
      </c>
      <c r="C101" s="2" t="s">
        <v>61</v>
      </c>
      <c r="D101" s="2">
        <v>1</v>
      </c>
      <c r="E101" s="2" t="s">
        <v>13</v>
      </c>
      <c r="F101" s="2" t="s">
        <v>174</v>
      </c>
      <c r="G101" s="2">
        <v>12</v>
      </c>
      <c r="H101" s="2">
        <v>12</v>
      </c>
      <c r="I101" s="2" t="s">
        <v>48</v>
      </c>
      <c r="J101" s="2" t="s">
        <v>25</v>
      </c>
      <c r="K101" s="2" t="s">
        <v>62</v>
      </c>
      <c r="L101" s="2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"/>
  <sheetViews>
    <sheetView tabSelected="1" topLeftCell="A3" zoomScale="55" zoomScaleNormal="55" workbookViewId="0">
      <selection activeCell="V3" sqref="V1:V1048576"/>
    </sheetView>
  </sheetViews>
  <sheetFormatPr defaultColWidth="8.7109375" defaultRowHeight="15" x14ac:dyDescent="0.25"/>
  <cols>
    <col min="1" max="1" width="30" customWidth="1"/>
    <col min="2" max="3" width="16" customWidth="1"/>
    <col min="4" max="4" width="12" customWidth="1"/>
  </cols>
  <sheetData>
    <row r="1" spans="1:31" ht="18" x14ac:dyDescent="0.25">
      <c r="A1" s="11" t="s">
        <v>175</v>
      </c>
      <c r="B1" s="11"/>
      <c r="C1" s="11"/>
      <c r="D1" s="11"/>
    </row>
    <row r="3" spans="1:31" ht="20.25" x14ac:dyDescent="0.3">
      <c r="A3" s="3" t="s">
        <v>176</v>
      </c>
      <c r="B3" s="4">
        <f>ROUND(SUM('Raw Data'!H2:H101),2)</f>
        <v>1683.65</v>
      </c>
    </row>
    <row r="4" spans="1:31" ht="20.25" x14ac:dyDescent="0.3">
      <c r="A4" s="3" t="s">
        <v>177</v>
      </c>
      <c r="B4" s="4">
        <f>SUMPRODUCT(1/COUNTIF('Raw Data'!B2:B101,'Raw Data'!B2:B101))</f>
        <v>41</v>
      </c>
    </row>
    <row r="5" spans="1:31" ht="20.25" x14ac:dyDescent="0.3">
      <c r="A5" s="3" t="s">
        <v>178</v>
      </c>
      <c r="B5" s="4">
        <f>SUM('Raw Data'!D2:D101)</f>
        <v>101</v>
      </c>
    </row>
    <row r="6" spans="1:31" ht="20.25" x14ac:dyDescent="0.3">
      <c r="A6" s="3" t="s">
        <v>179</v>
      </c>
      <c r="B6" s="4">
        <f>ROUND(B3/B4,2)</f>
        <v>41.06</v>
      </c>
      <c r="AE6" s="10"/>
    </row>
    <row r="9" spans="1:31" x14ac:dyDescent="0.25">
      <c r="A9" s="5" t="s">
        <v>180</v>
      </c>
    </row>
    <row r="10" spans="1:31" x14ac:dyDescent="0.25">
      <c r="A10" s="1" t="s">
        <v>181</v>
      </c>
      <c r="B10" s="1" t="s">
        <v>182</v>
      </c>
      <c r="C10" s="1" t="s">
        <v>183</v>
      </c>
    </row>
    <row r="11" spans="1:31" x14ac:dyDescent="0.25">
      <c r="A11" s="2" t="s">
        <v>36</v>
      </c>
      <c r="B11" s="2">
        <f>ROUND(SUMIF('Raw Data'!J2:J101,A11,'Raw Data'!H2:H101),2)</f>
        <v>404.5</v>
      </c>
      <c r="C11" s="2">
        <f>SUMIF('Raw Data'!J2:J101,A11,'Raw Data'!D2:D101)</f>
        <v>22</v>
      </c>
    </row>
    <row r="12" spans="1:31" x14ac:dyDescent="0.25">
      <c r="A12" s="2" t="s">
        <v>16</v>
      </c>
      <c r="B12" s="2">
        <f>ROUND(SUMIF('Raw Data'!J2:J101,A12,'Raw Data'!H2:H101),2)</f>
        <v>414.25</v>
      </c>
      <c r="C12" s="2">
        <f>SUMIF('Raw Data'!J2:J101,A12,'Raw Data'!D2:D101)</f>
        <v>28</v>
      </c>
    </row>
    <row r="13" spans="1:31" x14ac:dyDescent="0.25">
      <c r="A13" s="2" t="s">
        <v>29</v>
      </c>
      <c r="B13" s="2">
        <f>ROUND(SUMIF('Raw Data'!J2:J101,A13,'Raw Data'!H2:H101),2)</f>
        <v>359.5</v>
      </c>
      <c r="C13" s="2">
        <f>SUMIF('Raw Data'!J2:J101,A13,'Raw Data'!D2:D101)</f>
        <v>21</v>
      </c>
    </row>
    <row r="14" spans="1:31" x14ac:dyDescent="0.25">
      <c r="A14" s="2" t="s">
        <v>25</v>
      </c>
      <c r="B14" s="2">
        <f>ROUND(SUMIF('Raw Data'!J2:J101,A14,'Raw Data'!H2:H101),2)</f>
        <v>505.4</v>
      </c>
      <c r="C14" s="2">
        <f>SUMIF('Raw Data'!J2:J101,A14,'Raw Data'!D2:D101)</f>
        <v>30</v>
      </c>
    </row>
    <row r="17" spans="1:3" x14ac:dyDescent="0.25">
      <c r="A17" s="5" t="s">
        <v>184</v>
      </c>
    </row>
    <row r="18" spans="1:3" x14ac:dyDescent="0.25">
      <c r="A18" s="1" t="s">
        <v>185</v>
      </c>
      <c r="B18" s="1" t="s">
        <v>182</v>
      </c>
      <c r="C18" s="1" t="s">
        <v>183</v>
      </c>
    </row>
    <row r="19" spans="1:3" x14ac:dyDescent="0.25">
      <c r="A19" s="2" t="s">
        <v>48</v>
      </c>
      <c r="B19" s="2">
        <f>ROUND(SUMIF('Raw Data'!I2:I101,A19,'Raw Data'!H2:H101),2)</f>
        <v>351.25</v>
      </c>
      <c r="C19" s="2">
        <f>SUMIF('Raw Data'!I2:I101,A19,'Raw Data'!D2:D101)</f>
        <v>29</v>
      </c>
    </row>
    <row r="20" spans="1:3" x14ac:dyDescent="0.25">
      <c r="A20" s="2" t="s">
        <v>15</v>
      </c>
      <c r="B20" s="2">
        <f>ROUND(SUMIF('Raw Data'!I2:I101,A20,'Raw Data'!H2:H101),2)</f>
        <v>409.5</v>
      </c>
      <c r="C20" s="2">
        <f>SUMIF('Raw Data'!I2:I101,A20,'Raw Data'!D2:D101)</f>
        <v>26</v>
      </c>
    </row>
    <row r="21" spans="1:3" x14ac:dyDescent="0.25">
      <c r="A21" s="2" t="s">
        <v>24</v>
      </c>
      <c r="B21" s="2">
        <f>ROUND(SUMIF('Raw Data'!I2:I101,A21,'Raw Data'!H2:H101),2)</f>
        <v>922.9</v>
      </c>
      <c r="C21" s="2">
        <f>SUMIF('Raw Data'!I2:I101,A21,'Raw Data'!D2:D101)</f>
        <v>46</v>
      </c>
    </row>
    <row r="24" spans="1:3" x14ac:dyDescent="0.25">
      <c r="A24" s="5" t="s">
        <v>186</v>
      </c>
    </row>
    <row r="25" spans="1:3" x14ac:dyDescent="0.25">
      <c r="A25" s="1" t="s">
        <v>187</v>
      </c>
      <c r="B25" s="1" t="s">
        <v>183</v>
      </c>
    </row>
    <row r="26" spans="1:3" x14ac:dyDescent="0.25">
      <c r="A26" s="2" t="s">
        <v>31</v>
      </c>
      <c r="B26" s="2">
        <v>11</v>
      </c>
    </row>
    <row r="27" spans="1:3" x14ac:dyDescent="0.25">
      <c r="A27" s="2" t="s">
        <v>66</v>
      </c>
      <c r="B27" s="2">
        <v>7</v>
      </c>
    </row>
    <row r="28" spans="1:3" x14ac:dyDescent="0.25">
      <c r="A28" s="2" t="s">
        <v>50</v>
      </c>
      <c r="B28" s="2">
        <v>7</v>
      </c>
    </row>
    <row r="29" spans="1:3" x14ac:dyDescent="0.25">
      <c r="A29" s="2" t="s">
        <v>34</v>
      </c>
      <c r="B29" s="2">
        <v>7</v>
      </c>
    </row>
    <row r="30" spans="1:3" x14ac:dyDescent="0.25">
      <c r="A30" s="2" t="s">
        <v>63</v>
      </c>
      <c r="B30" s="2">
        <v>6</v>
      </c>
    </row>
    <row r="33" spans="1:2" x14ac:dyDescent="0.25">
      <c r="A33" s="5" t="s">
        <v>188</v>
      </c>
    </row>
    <row r="34" spans="1:2" x14ac:dyDescent="0.25">
      <c r="A34" s="1" t="s">
        <v>187</v>
      </c>
      <c r="B34" s="1" t="s">
        <v>182</v>
      </c>
    </row>
    <row r="35" spans="1:2" x14ac:dyDescent="0.25">
      <c r="A35" s="2" t="s">
        <v>31</v>
      </c>
      <c r="B35" s="2">
        <v>194.5</v>
      </c>
    </row>
    <row r="36" spans="1:2" x14ac:dyDescent="0.25">
      <c r="A36" s="2" t="s">
        <v>66</v>
      </c>
      <c r="B36" s="2">
        <v>134.5</v>
      </c>
    </row>
    <row r="37" spans="1:2" x14ac:dyDescent="0.25">
      <c r="A37" s="2" t="s">
        <v>50</v>
      </c>
      <c r="B37" s="2">
        <v>129.25</v>
      </c>
    </row>
    <row r="38" spans="1:2" x14ac:dyDescent="0.25">
      <c r="A38" s="2" t="s">
        <v>34</v>
      </c>
      <c r="B38" s="2">
        <v>125</v>
      </c>
    </row>
    <row r="39" spans="1:2" x14ac:dyDescent="0.25">
      <c r="A39" s="2" t="s">
        <v>38</v>
      </c>
      <c r="B39" s="2">
        <v>103.75</v>
      </c>
    </row>
    <row r="42" spans="1:2" x14ac:dyDescent="0.25">
      <c r="A42" s="5" t="s">
        <v>189</v>
      </c>
    </row>
    <row r="43" spans="1:2" x14ac:dyDescent="0.25">
      <c r="A43" s="1" t="s">
        <v>190</v>
      </c>
      <c r="B43" s="1" t="s">
        <v>191</v>
      </c>
    </row>
    <row r="44" spans="1:2" x14ac:dyDescent="0.25">
      <c r="A44" s="2" t="s">
        <v>192</v>
      </c>
      <c r="B44" s="2">
        <v>6</v>
      </c>
    </row>
    <row r="45" spans="1:2" x14ac:dyDescent="0.25">
      <c r="A45" s="2" t="s">
        <v>193</v>
      </c>
      <c r="B45" s="2">
        <v>17</v>
      </c>
    </row>
    <row r="46" spans="1:2" x14ac:dyDescent="0.25">
      <c r="A46" s="2" t="s">
        <v>194</v>
      </c>
      <c r="B46" s="2">
        <v>32</v>
      </c>
    </row>
    <row r="47" spans="1:2" x14ac:dyDescent="0.25">
      <c r="A47" s="2" t="s">
        <v>195</v>
      </c>
      <c r="B47" s="2">
        <v>15</v>
      </c>
    </row>
    <row r="48" spans="1:2" x14ac:dyDescent="0.25">
      <c r="A48" s="2" t="s">
        <v>196</v>
      </c>
      <c r="B48" s="2">
        <v>14</v>
      </c>
    </row>
    <row r="49" spans="1:2" x14ac:dyDescent="0.25">
      <c r="A49" s="2" t="s">
        <v>197</v>
      </c>
      <c r="B49" s="2">
        <v>9</v>
      </c>
    </row>
    <row r="50" spans="1:2" x14ac:dyDescent="0.25">
      <c r="A50" s="2" t="s">
        <v>198</v>
      </c>
      <c r="B50" s="2">
        <v>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sqref="A1:E1"/>
    </sheetView>
  </sheetViews>
  <sheetFormatPr defaultColWidth="8.7109375" defaultRowHeight="15" x14ac:dyDescent="0.25"/>
  <cols>
    <col min="1" max="1" width="16" customWidth="1"/>
    <col min="2" max="4" width="14" customWidth="1"/>
    <col min="5" max="5" width="16" customWidth="1"/>
  </cols>
  <sheetData>
    <row r="1" spans="1:5" ht="18" x14ac:dyDescent="0.25">
      <c r="A1" s="11" t="s">
        <v>199</v>
      </c>
      <c r="B1" s="11"/>
      <c r="C1" s="11"/>
      <c r="D1" s="11"/>
      <c r="E1" s="11"/>
    </row>
    <row r="3" spans="1:5" x14ac:dyDescent="0.25">
      <c r="A3" s="1" t="s">
        <v>181</v>
      </c>
      <c r="B3" s="1" t="s">
        <v>48</v>
      </c>
      <c r="C3" s="1" t="s">
        <v>15</v>
      </c>
      <c r="D3" s="1" t="s">
        <v>24</v>
      </c>
      <c r="E3" s="1" t="s">
        <v>200</v>
      </c>
    </row>
    <row r="4" spans="1:5" x14ac:dyDescent="0.25">
      <c r="A4" s="2" t="s">
        <v>36</v>
      </c>
      <c r="B4" s="2">
        <f>ROUND(SUMIFS('Raw Data'!H2:H101,'Raw Data'!J2:J101,$A4,'Raw Data'!I2:I101,B$3),2)</f>
        <v>63.75</v>
      </c>
      <c r="C4" s="2">
        <f>ROUND(SUMIFS('Raw Data'!H2:H101,'Raw Data'!J2:J101,$A4,'Raw Data'!I2:I101,C$3),2)</f>
        <v>50.25</v>
      </c>
      <c r="D4" s="2">
        <f>ROUND(SUMIFS('Raw Data'!H2:H101,'Raw Data'!J2:J101,$A4,'Raw Data'!I2:I101,D$3),2)</f>
        <v>290.5</v>
      </c>
      <c r="E4" s="6">
        <f>SUM(B4:D4)</f>
        <v>404.5</v>
      </c>
    </row>
    <row r="5" spans="1:5" x14ac:dyDescent="0.25">
      <c r="A5" s="2" t="s">
        <v>16</v>
      </c>
      <c r="B5" s="2">
        <f>ROUND(SUMIFS('Raw Data'!H2:H101,'Raw Data'!J2:J101,$A5,'Raw Data'!I2:I101,B$3),2)</f>
        <v>140.25</v>
      </c>
      <c r="C5" s="2">
        <f>ROUND(SUMIFS('Raw Data'!H2:H101,'Raw Data'!J2:J101,$A5,'Raw Data'!I2:I101,C$3),2)</f>
        <v>118.25</v>
      </c>
      <c r="D5" s="2">
        <f>ROUND(SUMIFS('Raw Data'!H2:H101,'Raw Data'!J2:J101,$A5,'Raw Data'!I2:I101,D$3),2)</f>
        <v>155.75</v>
      </c>
      <c r="E5" s="6">
        <f>SUM(B5:D5)</f>
        <v>414.25</v>
      </c>
    </row>
    <row r="6" spans="1:5" x14ac:dyDescent="0.25">
      <c r="A6" s="2" t="s">
        <v>29</v>
      </c>
      <c r="B6" s="2">
        <f>ROUND(SUMIFS('Raw Data'!H2:H101,'Raw Data'!J2:J101,$A6,'Raw Data'!I2:I101,B$3),2)</f>
        <v>62.5</v>
      </c>
      <c r="C6" s="2">
        <f>ROUND(SUMIFS('Raw Data'!H2:H101,'Raw Data'!J2:J101,$A6,'Raw Data'!I2:I101,C$3),2)</f>
        <v>131.5</v>
      </c>
      <c r="D6" s="2">
        <f>ROUND(SUMIFS('Raw Data'!H2:H101,'Raw Data'!J2:J101,$A6,'Raw Data'!I2:I101,D$3),2)</f>
        <v>165.5</v>
      </c>
      <c r="E6" s="6">
        <f>SUM(B6:D6)</f>
        <v>359.5</v>
      </c>
    </row>
    <row r="7" spans="1:5" x14ac:dyDescent="0.25">
      <c r="A7" s="2" t="s">
        <v>25</v>
      </c>
      <c r="B7" s="2">
        <f>ROUND(SUMIFS('Raw Data'!H2:H101,'Raw Data'!J2:J101,$A7,'Raw Data'!I2:I101,B$3),2)</f>
        <v>84.75</v>
      </c>
      <c r="C7" s="2">
        <f>ROUND(SUMIFS('Raw Data'!H2:H101,'Raw Data'!J2:J101,$A7,'Raw Data'!I2:I101,C$3),2)</f>
        <v>109.5</v>
      </c>
      <c r="D7" s="2">
        <f>ROUND(SUMIFS('Raw Data'!H2:H101,'Raw Data'!J2:J101,$A7,'Raw Data'!I2:I101,D$3),2)</f>
        <v>311.14999999999998</v>
      </c>
      <c r="E7" s="6">
        <f>SUM(B7:D7)</f>
        <v>505.4</v>
      </c>
    </row>
    <row r="8" spans="1:5" x14ac:dyDescent="0.25">
      <c r="A8" s="6" t="s">
        <v>200</v>
      </c>
      <c r="B8" s="6">
        <f>SUM(B4:B7)</f>
        <v>351.25</v>
      </c>
      <c r="C8" s="6">
        <f>SUM(C4:C7)</f>
        <v>409.5</v>
      </c>
      <c r="D8" s="6">
        <f>SUM(D4:D7)</f>
        <v>922.9</v>
      </c>
      <c r="E8" s="6">
        <f>SUM(E4:E7)</f>
        <v>1683.65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Normal="100" workbookViewId="0">
      <selection sqref="A1:B1"/>
    </sheetView>
  </sheetViews>
  <sheetFormatPr defaultColWidth="8.7109375" defaultRowHeight="15" x14ac:dyDescent="0.25"/>
  <cols>
    <col min="1" max="1" width="45" customWidth="1"/>
    <col min="2" max="2" width="90" customWidth="1"/>
  </cols>
  <sheetData>
    <row r="1" spans="1:2" ht="18" x14ac:dyDescent="0.25">
      <c r="A1" s="11" t="s">
        <v>201</v>
      </c>
      <c r="B1" s="11"/>
    </row>
    <row r="3" spans="1:2" x14ac:dyDescent="0.25">
      <c r="A3" s="7"/>
      <c r="B3" s="7"/>
    </row>
    <row r="4" spans="1:2" x14ac:dyDescent="0.25">
      <c r="A4" s="8" t="s">
        <v>202</v>
      </c>
      <c r="B4" s="7" t="s">
        <v>203</v>
      </c>
    </row>
    <row r="5" spans="1:2" x14ac:dyDescent="0.25">
      <c r="A5" s="8" t="s">
        <v>204</v>
      </c>
      <c r="B5" s="7" t="s">
        <v>205</v>
      </c>
    </row>
    <row r="6" spans="1:2" x14ac:dyDescent="0.25">
      <c r="A6" s="8" t="s">
        <v>206</v>
      </c>
      <c r="B6" s="7" t="s">
        <v>207</v>
      </c>
    </row>
    <row r="7" spans="1:2" x14ac:dyDescent="0.25">
      <c r="A7" s="7"/>
      <c r="B7" s="7"/>
    </row>
    <row r="8" spans="1:2" x14ac:dyDescent="0.25">
      <c r="A8" s="8" t="s">
        <v>208</v>
      </c>
      <c r="B8" s="7"/>
    </row>
    <row r="9" spans="1:2" x14ac:dyDescent="0.25">
      <c r="A9" s="8" t="s">
        <v>209</v>
      </c>
      <c r="B9" s="7" t="s">
        <v>210</v>
      </c>
    </row>
    <row r="10" spans="1:2" ht="25.5" x14ac:dyDescent="0.25">
      <c r="A10" s="8" t="s">
        <v>211</v>
      </c>
      <c r="B10" s="7" t="s">
        <v>212</v>
      </c>
    </row>
    <row r="11" spans="1:2" x14ac:dyDescent="0.25">
      <c r="A11" s="8" t="s">
        <v>213</v>
      </c>
      <c r="B11" s="7" t="s">
        <v>214</v>
      </c>
    </row>
    <row r="12" spans="1:2" x14ac:dyDescent="0.25">
      <c r="A12" s="7"/>
      <c r="B12" s="7"/>
    </row>
    <row r="13" spans="1:2" ht="25.5" x14ac:dyDescent="0.25">
      <c r="A13" s="8" t="s">
        <v>215</v>
      </c>
      <c r="B13" s="7" t="s">
        <v>216</v>
      </c>
    </row>
    <row r="14" spans="1:2" x14ac:dyDescent="0.25">
      <c r="A14" s="9"/>
      <c r="B14" s="9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Summary Dashboard</vt:lpstr>
      <vt:lpstr>Pivot Analysis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princekoundal395@gmail.com</cp:lastModifiedBy>
  <cp:revision>1</cp:revision>
  <dcterms:created xsi:type="dcterms:W3CDTF">2026-08-08T06:05:21Z</dcterms:created>
  <dcterms:modified xsi:type="dcterms:W3CDTF">2026-10-09T04:29:21Z</dcterms:modified>
  <dc:language>en-US</dc:language>
</cp:coreProperties>
</file>